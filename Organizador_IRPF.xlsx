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cor-my.sharepoint.com/personal/giovana_leardine_amcor_com/Documents/Documentos/Estágio/"/>
    </mc:Choice>
  </mc:AlternateContent>
  <xr:revisionPtr revIDLastSave="1211" documentId="8_{673E4FA4-415C-4248-9D9B-C8D39DB287B7}" xr6:coauthVersionLast="47" xr6:coauthVersionMax="47" xr10:uidLastSave="{7964116A-1567-4AAA-84FC-E4FA01936E30}"/>
  <bookViews>
    <workbookView xWindow="-28910" yWindow="-2270" windowWidth="29020" windowHeight="15700" tabRatio="0" firstSheet="1" activeTab="1" xr2:uid="{41F48729-AD5E-4054-B206-A8594B9F9095}"/>
  </bookViews>
  <sheets>
    <sheet name="Tabelas" sheetId="2" state="hidden" r:id="rId1"/>
    <sheet name="TITULAR" sheetId="1" r:id="rId2"/>
    <sheet name="DEPENDENTES" sheetId="3" r:id="rId3"/>
    <sheet name="RENDIMENTOS" sheetId="4" r:id="rId4"/>
    <sheet name="DESPESAS" sheetId="5" r:id="rId5"/>
    <sheet name="INFORMES" sheetId="6" r:id="rId6"/>
    <sheet name="BENS" sheetId="7" r:id="rId7"/>
  </sheets>
  <definedNames>
    <definedName name="_xlnm._FilterDatabase" localSheetId="0" hidden="1">Tabelas!$K$1:$K$51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7" l="1"/>
  <c r="K27" i="6"/>
  <c r="L27" i="6"/>
  <c r="I27" i="5"/>
  <c r="G27" i="4"/>
  <c r="H27" i="4"/>
  <c r="I27" i="4"/>
  <c r="J27" i="4"/>
  <c r="K27" i="4"/>
</calcChain>
</file>

<file path=xl/sharedStrings.xml><?xml version="1.0" encoding="utf-8"?>
<sst xmlns="http://schemas.openxmlformats.org/spreadsheetml/2006/main" count="251" uniqueCount="195">
  <si>
    <t>1. DADOS DO TITULAR</t>
  </si>
  <si>
    <t>NOME</t>
  </si>
  <si>
    <t>CPF</t>
  </si>
  <si>
    <t>NASCIMENTO</t>
  </si>
  <si>
    <t>RAÇA/COR</t>
  </si>
  <si>
    <t>HOUVE ALTERAÇÃO DE DADOS CADASTRAIS?</t>
  </si>
  <si>
    <t>POSSUI CÔNJUGE?</t>
  </si>
  <si>
    <t>CPF DO CÔNJUGE</t>
  </si>
  <si>
    <t>RESIDENTE NO EXTERIOR?</t>
  </si>
  <si>
    <t>RUA</t>
  </si>
  <si>
    <t>NÚMERO RESIDÊNCIA</t>
  </si>
  <si>
    <t>BAIRRO</t>
  </si>
  <si>
    <t>MUNICÍPIO</t>
  </si>
  <si>
    <t>ESTADO</t>
  </si>
  <si>
    <t>CEP</t>
  </si>
  <si>
    <t>OCUPAÇÃO/PROFISSÃO</t>
  </si>
  <si>
    <t>Raça/cor</t>
  </si>
  <si>
    <t>Amarela</t>
  </si>
  <si>
    <t>Branca</t>
  </si>
  <si>
    <t>Indígena</t>
  </si>
  <si>
    <t>Parda</t>
  </si>
  <si>
    <t>Preta</t>
  </si>
  <si>
    <t>Sim</t>
  </si>
  <si>
    <t>Não</t>
  </si>
  <si>
    <t>Estado</t>
  </si>
  <si>
    <t>AC</t>
  </si>
  <si>
    <t>AL</t>
  </si>
  <si>
    <t>AP</t>
  </si>
  <si>
    <t>AM</t>
  </si>
  <si>
    <t>BA</t>
  </si>
  <si>
    <t>CE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</si>
  <si>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</si>
  <si>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</si>
  <si>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</si>
  <si>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</si>
  <si>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</si>
  <si>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</si>
  <si>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</si>
  <si>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</si>
  <si>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</si>
  <si>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</si>
  <si>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</si>
  <si>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</si>
  <si>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</si>
  <si>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</si>
  <si>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</si>
  <si>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</si>
  <si>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</si>
  <si>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São Paulo</t>
  </si>
  <si>
    <t>SP</t>
  </si>
  <si>
    <t>SE</t>
  </si>
  <si>
    <t>TO</t>
  </si>
  <si>
    <t>Nome Sobrenome</t>
  </si>
  <si>
    <t>Rua Exemplo</t>
  </si>
  <si>
    <t>Jardim ABC</t>
  </si>
  <si>
    <t>Professor</t>
  </si>
  <si>
    <t>Preencha com seus dados pessoais</t>
  </si>
  <si>
    <t>Se possuir dependentes, preencha os dados de cada um</t>
  </si>
  <si>
    <t>Dependente</t>
  </si>
  <si>
    <t>Companheiro/Cônjuge</t>
  </si>
  <si>
    <t>Filho</t>
  </si>
  <si>
    <t>Irmão</t>
  </si>
  <si>
    <t>Neto</t>
  </si>
  <si>
    <t>Bisneto</t>
  </si>
  <si>
    <t>Pais</t>
  </si>
  <si>
    <t>Avõs</t>
  </si>
  <si>
    <t>Bisavós</t>
  </si>
  <si>
    <t>Outros</t>
  </si>
  <si>
    <t>2. DADOS DOS DEPENDENTES</t>
  </si>
  <si>
    <t>Tipo do Dependente</t>
  </si>
  <si>
    <t>Data de Nascimento</t>
  </si>
  <si>
    <t>Raça/Cor</t>
  </si>
  <si>
    <t>Nome</t>
  </si>
  <si>
    <t>3. RENDIMENTOS TRIBUTÁVEIS</t>
  </si>
  <si>
    <t>Nome da Fonte Pagadora</t>
  </si>
  <si>
    <t>Rendimentos</t>
  </si>
  <si>
    <t>Contribuição Previdenciária</t>
  </si>
  <si>
    <t>13º Salário</t>
  </si>
  <si>
    <t>IRRF Sobre 13º</t>
  </si>
  <si>
    <t>CNPJ</t>
  </si>
  <si>
    <t>Nome Empresa Ltda.</t>
  </si>
  <si>
    <t>Total</t>
  </si>
  <si>
    <t>4. DESPESAS</t>
  </si>
  <si>
    <t>Despesas</t>
  </si>
  <si>
    <t>Educação</t>
  </si>
  <si>
    <t>Médicos</t>
  </si>
  <si>
    <t>Dentistas</t>
  </si>
  <si>
    <t>Psicólogos</t>
  </si>
  <si>
    <t>Fisioterapeutas</t>
  </si>
  <si>
    <t>Hospitais/Clínicas/Laboratórios</t>
  </si>
  <si>
    <t>Plano de Saúde</t>
  </si>
  <si>
    <t>Advogados</t>
  </si>
  <si>
    <t>Despesa Realizada Com</t>
  </si>
  <si>
    <t>Nome Sobrenome Cônjuge</t>
  </si>
  <si>
    <t>Nome Sobrenome Filho</t>
  </si>
  <si>
    <t>Nome Sobrenome Pai</t>
  </si>
  <si>
    <t>Nome do Dependente</t>
  </si>
  <si>
    <t>Nome do Prestador</t>
  </si>
  <si>
    <t>CNPJ do Prestador</t>
  </si>
  <si>
    <t>CPF do Prestador</t>
  </si>
  <si>
    <t>Valor Gasto</t>
  </si>
  <si>
    <t>Descrição do Serviço</t>
  </si>
  <si>
    <t>Titular</t>
  </si>
  <si>
    <t>Tipo de Serviço</t>
  </si>
  <si>
    <t>Procedimento Médico XYZ</t>
  </si>
  <si>
    <t>Escola ABC</t>
  </si>
  <si>
    <t>Nome Fisioterapeuta</t>
  </si>
  <si>
    <t>Seções de Fisioterapia 123</t>
  </si>
  <si>
    <t>Nome Psicólogo</t>
  </si>
  <si>
    <t>Seções de Terapia</t>
  </si>
  <si>
    <t>5. INFORMES BANCÁRIOS</t>
  </si>
  <si>
    <t>Tipo de Conta</t>
  </si>
  <si>
    <t>Corrente</t>
  </si>
  <si>
    <t>Poupança</t>
  </si>
  <si>
    <t>Aplicações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</si>
  <si>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</si>
  <si>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</si>
  <si>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</si>
  <si>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</si>
  <si>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</si>
  <si>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</si>
  <si>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</si>
  <si>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</si>
  <si>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</si>
  <si>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</si>
  <si>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241 - Banco Clássico</t>
  </si>
  <si>
    <t>250 - Banco de Crédito e Varejo (BCV)</t>
  </si>
  <si>
    <t>260 - Nubank</t>
  </si>
  <si>
    <t>290 - PagBank</t>
  </si>
  <si>
    <t>336 - C6 Bank</t>
  </si>
  <si>
    <t>341 - Itaú Unibanco</t>
  </si>
  <si>
    <t>376 - Banco JPMorgan S.A.</t>
  </si>
  <si>
    <t>380 - PicPay</t>
  </si>
  <si>
    <t>422 - Banco Safra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</si>
  <si>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</si>
  <si>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</si>
  <si>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</si>
  <si>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</si>
  <si>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</si>
  <si>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634 - Banco Triângulo</t>
  </si>
  <si>
    <t>654 - Banco AJ Renner</t>
  </si>
  <si>
    <t>655 - Banco Votorantim</t>
  </si>
  <si>
    <t>707 - Banco Daycoval</t>
  </si>
  <si>
    <t>734 - Banco Gerdau</t>
  </si>
  <si>
    <t>735 - Banco Neon</t>
  </si>
  <si>
    <t>746 - Banco Modal</t>
  </si>
  <si>
    <t>748 - Banco Cooperativo Sicredi S.A.</t>
  </si>
  <si>
    <t>749 - Banco Simples</t>
  </si>
  <si>
    <t>Bancos</t>
  </si>
  <si>
    <t>001 - Banco do Brasil</t>
  </si>
  <si>
    <t>024 - Banco de Pernambuco</t>
  </si>
  <si>
    <t>029 - Banco do Estado do Rio de Janeiro</t>
  </si>
  <si>
    <t>003 - Banco da Amazônia</t>
  </si>
  <si>
    <t>033 - Banco Santander</t>
  </si>
  <si>
    <t>004 - Banco do Nordeste do Brasil</t>
  </si>
  <si>
    <t>041 - Banco do Estado do Rio Grande do Sul</t>
  </si>
  <si>
    <t>044 - Banco BVA</t>
  </si>
  <si>
    <t>062 - Hipercard Banco Múltiplo</t>
  </si>
  <si>
    <t>065 - Banco Lemon</t>
  </si>
  <si>
    <t>066 - Banco Morgan Stanley</t>
  </si>
  <si>
    <t>072 - Banco Rural Mais</t>
  </si>
  <si>
    <t>074 - Banco J. Safra</t>
  </si>
  <si>
    <t>077 - Banco Inter</t>
  </si>
  <si>
    <t>079 - Banco JBS</t>
  </si>
  <si>
    <t>082 - Banco Topázio</t>
  </si>
  <si>
    <t>Tipo da Conta</t>
  </si>
  <si>
    <t>Banco</t>
  </si>
  <si>
    <t>037 - Banco do Estado do Pará</t>
  </si>
  <si>
    <t>CNPJ Banco</t>
  </si>
  <si>
    <t>Agência</t>
  </si>
  <si>
    <t>Conta</t>
  </si>
  <si>
    <t>DV</t>
  </si>
  <si>
    <t>Saldo da Conta</t>
  </si>
  <si>
    <t>00.000.000/0001-91</t>
  </si>
  <si>
    <t>Rendimento Recebido Por</t>
  </si>
  <si>
    <t>IRRF</t>
  </si>
  <si>
    <t>Titular da Conta</t>
  </si>
  <si>
    <t>Preencha com os dados do seu informe de rendimentos e de seus dependentes (se aplicável)</t>
  </si>
  <si>
    <t>Preencha com as depesas que teve durante o ano com você e seus dependentes (ex.: Escola, Médicos, Consultas)</t>
  </si>
  <si>
    <t>Preencha com as informações dos seus informes bancários e dos seus dependentes (se aplicável)</t>
  </si>
  <si>
    <t>Bens</t>
  </si>
  <si>
    <t>6. BENS E DIREITOS</t>
  </si>
  <si>
    <t>Bens Móveis</t>
  </si>
  <si>
    <t>Bens Imóveis</t>
  </si>
  <si>
    <t>Fundos</t>
  </si>
  <si>
    <t>Dono do Bem</t>
  </si>
  <si>
    <t>Tipo do Bem</t>
  </si>
  <si>
    <t>Incrição Municipal</t>
  </si>
  <si>
    <t>RENAVAM</t>
  </si>
  <si>
    <t>Descrição do Bem</t>
  </si>
  <si>
    <t>Valor do Bem</t>
  </si>
  <si>
    <t>Casa na Rua XYZ</t>
  </si>
  <si>
    <t>Carro Modelo ABCD</t>
  </si>
  <si>
    <t>Moto Modelo XYZ</t>
  </si>
  <si>
    <t>Fundo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</si>
</sst>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00&quot;.&quot;000&quot;.&quot;000&quot;/&quot;0000&quot;-&quot;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b/>
      <sz val="15"/>
      <color theme="3"/>
      <name val="Segoe UI"/>
      <family val="2"/>
    </font>
    <font>
      <b/>
      <sz val="11"/>
      <color theme="0"/>
      <name val="Segoe UI"/>
      <family val="2"/>
    </font>
    <font>
      <sz val="1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13293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3E3F1"/>
        <bgColor indexed="64"/>
      </patternFill>
    </fill>
    <fill>
      <patternFill patternType="solid">
        <fgColor rgb="FF16324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ck">
        <color theme="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4">
    <xf numFmtId="0" fontId="0" fillId="0" borderId="0" xfId="0"/>
    <xf numFmtId="0" fontId="4" fillId="2" borderId="0" xfId="0" applyFont="1" applyFill="1"/>
    <xf numFmtId="0" fontId="4" fillId="0" borderId="0" xfId="0" applyFont="1"/>
    <xf numFmtId="0" fontId="5" fillId="0" borderId="1" xfId="1" applyFont="1"/>
    <xf numFmtId="0" fontId="4" fillId="5" borderId="0" xfId="0" applyFont="1" applyFill="1"/>
    <xf numFmtId="0" fontId="6" fillId="6" borderId="2" xfId="0" applyFont="1" applyFill="1" applyBorder="1" applyAlignment="1">
      <alignment horizontal="right" indent="1"/>
    </xf>
    <xf numFmtId="164" fontId="6" fillId="6" borderId="3" xfId="0" applyNumberFormat="1" applyFont="1" applyFill="1" applyBorder="1" applyAlignment="1">
      <alignment horizontal="right" indent="1"/>
    </xf>
    <xf numFmtId="14" fontId="6" fillId="6" borderId="3" xfId="0" applyNumberFormat="1" applyFont="1" applyFill="1" applyBorder="1" applyAlignment="1">
      <alignment horizontal="right" indent="1"/>
    </xf>
    <xf numFmtId="0" fontId="6" fillId="6" borderId="3" xfId="0" applyFont="1" applyFill="1" applyBorder="1" applyAlignment="1">
      <alignment horizontal="right" indent="1"/>
    </xf>
    <xf numFmtId="165" fontId="6" fillId="6" borderId="3" xfId="0" applyNumberFormat="1" applyFont="1" applyFill="1" applyBorder="1" applyAlignment="1">
      <alignment horizontal="right" indent="1"/>
    </xf>
    <xf numFmtId="0" fontId="6" fillId="6" borderId="4" xfId="0" applyFont="1" applyFill="1" applyBorder="1" applyAlignment="1">
      <alignment horizontal="right" indent="1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1" applyFont="1" applyAlignment="1">
      <alignment horizontal="center"/>
    </xf>
    <xf numFmtId="0" fontId="5" fillId="0" borderId="1" xfId="1" applyFont="1" applyAlignment="1"/>
    <xf numFmtId="0" fontId="4" fillId="5" borderId="5" xfId="0" applyFont="1" applyFill="1" applyBorder="1" applyAlignment="1"/>
    <xf numFmtId="0" fontId="4" fillId="5" borderId="0" xfId="0" applyFont="1" applyFill="1" applyBorder="1" applyAlignment="1">
      <alignment horizontal="center"/>
    </xf>
    <xf numFmtId="0" fontId="4" fillId="5" borderId="0" xfId="0" applyFont="1" applyFill="1" applyBorder="1" applyAlignment="1"/>
    <xf numFmtId="44" fontId="4" fillId="0" borderId="0" xfId="0" applyNumberFormat="1" applyFont="1" applyAlignment="1">
      <alignment horizontal="center"/>
    </xf>
    <xf numFmtId="44" fontId="4" fillId="0" borderId="0" xfId="0" applyNumberFormat="1" applyFont="1"/>
    <xf numFmtId="44" fontId="4" fillId="5" borderId="0" xfId="0" applyNumberFormat="1" applyFont="1" applyFill="1"/>
    <xf numFmtId="0" fontId="3" fillId="0" borderId="0" xfId="0" applyFont="1"/>
    <xf numFmtId="0" fontId="7" fillId="4" borderId="2" xfId="0" applyFont="1" applyFill="1" applyBorder="1" applyAlignment="1" applyProtection="1">
      <alignment horizontal="left" indent="1"/>
      <protection locked="0"/>
    </xf>
    <xf numFmtId="164" fontId="7" fillId="4" borderId="3" xfId="0" applyNumberFormat="1" applyFont="1" applyFill="1" applyBorder="1" applyAlignment="1" applyProtection="1">
      <alignment horizontal="left" indent="1"/>
      <protection locked="0"/>
    </xf>
    <xf numFmtId="14" fontId="7" fillId="4" borderId="3" xfId="0" applyNumberFormat="1" applyFont="1" applyFill="1" applyBorder="1" applyAlignment="1" applyProtection="1">
      <alignment horizontal="left" indent="1"/>
      <protection locked="0"/>
    </xf>
    <xf numFmtId="0" fontId="7" fillId="4" borderId="3" xfId="0" applyFont="1" applyFill="1" applyBorder="1" applyAlignment="1" applyProtection="1">
      <alignment horizontal="left" indent="1"/>
      <protection locked="0"/>
    </xf>
    <xf numFmtId="165" fontId="7" fillId="4" borderId="3" xfId="0" applyNumberFormat="1" applyFont="1" applyFill="1" applyBorder="1" applyAlignment="1" applyProtection="1">
      <alignment horizontal="left" indent="1"/>
      <protection locked="0"/>
    </xf>
    <xf numFmtId="0" fontId="7" fillId="4" borderId="4" xfId="0" applyFont="1" applyFill="1" applyBorder="1" applyAlignment="1" applyProtection="1">
      <alignment horizontal="left" indent="1"/>
      <protection locked="0"/>
    </xf>
    <xf numFmtId="0" fontId="4" fillId="0" borderId="0" xfId="0" applyFont="1" applyAlignment="1" applyProtection="1">
      <alignment horizontal="center"/>
      <protection locked="0"/>
    </xf>
    <xf numFmtId="164" fontId="4" fillId="0" borderId="0" xfId="0" applyNumberFormat="1" applyFont="1" applyAlignment="1" applyProtection="1">
      <alignment horizontal="center"/>
      <protection locked="0"/>
    </xf>
    <xf numFmtId="14" fontId="4" fillId="0" borderId="0" xfId="0" applyNumberFormat="1" applyFont="1" applyAlignment="1" applyProtection="1">
      <alignment horizontal="center"/>
      <protection locked="0"/>
    </xf>
    <xf numFmtId="44" fontId="4" fillId="0" borderId="0" xfId="0" applyNumberFormat="1" applyFont="1" applyAlignment="1" applyProtection="1">
      <alignment horizontal="center"/>
      <protection locked="0"/>
    </xf>
    <xf numFmtId="166" fontId="4" fillId="0" borderId="0" xfId="0" applyNumberFormat="1" applyFont="1" applyAlignment="1" applyProtection="1">
      <alignment horizontal="center"/>
      <protection locked="0"/>
    </xf>
  </cellXfs>
  <cellStyles count="2">
    <cellStyle name="Normal" xfId="0" builtinId="0"/>
    <cellStyle name="Título 1" xfId="1" builtinId="16"/>
  </cellStyles>
  <dxfs count="96">
    <dxf>
      <fill>
        <patternFill>
          <bgColor theme="2" tint="-0.499984740745262"/>
        </patternFill>
      </fill>
      <border>
        <bottom style="thin">
          <color theme="2" tint="-0.24994659260841701"/>
        </bottom>
      </border>
    </dxf>
    <dxf>
      <fill>
        <patternFill>
          <bgColor theme="2" tint="-0.499984740745262"/>
        </patternFill>
      </fill>
      <border>
        <bottom style="thin">
          <color theme="2" tint="-0.24994659260841701"/>
        </bottom>
      </border>
    </dxf>
    <dxf>
      <fill>
        <patternFill>
          <bgColor theme="2" tint="-0.499984740745262"/>
        </patternFill>
      </fill>
      <border>
        <bottom style="thin">
          <color theme="2" tint="-0.24994659260841701"/>
        </bottom>
      </border>
    </dxf>
    <dxf>
      <fill>
        <patternFill>
          <bgColor theme="2" tint="-0.499984740745262"/>
        </patternFill>
      </fill>
      <border>
        <bottom style="thin">
          <color theme="2" tint="-0.24994659260841701"/>
        </bottom>
      </border>
    </dxf>
    <dxf>
      <fill>
        <patternFill>
          <bgColor theme="2" tint="-0.499984740745262"/>
        </patternFill>
      </fill>
      <border>
        <bottom style="thin">
          <color theme="2" tint="-0.24994659260841701"/>
        </bottom>
      </border>
    </dxf>
    <dxf>
      <fill>
        <patternFill>
          <bgColor theme="2" tint="-0.499984740745262"/>
        </patternFill>
      </fill>
      <border>
        <bottom style="thin">
          <color theme="2" tint="-0.24994659260841701"/>
        </bottom>
      </border>
    </dxf>
    <dxf>
      <fill>
        <patternFill>
          <bgColor theme="2" tint="-0.499984740745262"/>
        </patternFill>
      </fill>
      <border>
        <bottom style="thin">
          <color theme="2" tint="-0.24994659260841701"/>
        </bottom>
      </border>
    </dxf>
    <dxf>
      <fill>
        <patternFill>
          <bgColor theme="2" tint="-0.499984740745262"/>
        </patternFill>
      </fill>
      <border>
        <bottom style="thin">
          <color theme="2" tint="-0.24994659260841701"/>
        </bottom>
      </border>
    </dxf>
    <dxf>
      <fill>
        <patternFill>
          <bgColor theme="0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6" formatCode="00&quot;.&quot;000&quot;.&quot;000&quot;/&quot;0000&quot;-&quot;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numFmt numFmtId="166" formatCode="00&quot;.&quot;000&quot;.&quot;000&quot;/&quot;0000&quot;-&quot;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numFmt numFmtId="166" formatCode="00&quot;.&quot;000&quot;.&quot;000&quot;/&quot;0000&quot;-&quot;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numFmt numFmtId="164" formatCode="000&quot;.&quot;000&quot;.&quot;000&quot;-&quot;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6324F"/>
      <color rgb="FFD3E3F1"/>
      <color rgb="FF2A628F"/>
      <color rgb="FF14435A"/>
      <color rgb="FF13293D"/>
      <color rgb="FF006494"/>
      <color rgb="FFE8F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BENS!C3"/><Relationship Id="rId3" Type="http://schemas.openxmlformats.org/officeDocument/2006/relationships/hyperlink" Target="#TITULAR!C3"/><Relationship Id="rId7" Type="http://schemas.openxmlformats.org/officeDocument/2006/relationships/hyperlink" Target="#INFORMES!C3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DESPESAS!C3"/><Relationship Id="rId5" Type="http://schemas.openxmlformats.org/officeDocument/2006/relationships/hyperlink" Target="#RENDIMENTOS!C3"/><Relationship Id="rId4" Type="http://schemas.openxmlformats.org/officeDocument/2006/relationships/hyperlink" Target="#DEPENDENTES!C3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BENS!C3"/><Relationship Id="rId3" Type="http://schemas.openxmlformats.org/officeDocument/2006/relationships/hyperlink" Target="#TITULAR!C3"/><Relationship Id="rId7" Type="http://schemas.openxmlformats.org/officeDocument/2006/relationships/hyperlink" Target="#INFORMES!C3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DESPESAS!C3"/><Relationship Id="rId5" Type="http://schemas.openxmlformats.org/officeDocument/2006/relationships/hyperlink" Target="#RENDIMENTOS!C3"/><Relationship Id="rId4" Type="http://schemas.openxmlformats.org/officeDocument/2006/relationships/hyperlink" Target="#DEPENDENTES!C3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BENS!C3"/><Relationship Id="rId3" Type="http://schemas.openxmlformats.org/officeDocument/2006/relationships/hyperlink" Target="#TITULAR!C3"/><Relationship Id="rId7" Type="http://schemas.openxmlformats.org/officeDocument/2006/relationships/hyperlink" Target="#INFORMES!C3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DESPESAS!C3"/><Relationship Id="rId5" Type="http://schemas.openxmlformats.org/officeDocument/2006/relationships/hyperlink" Target="#RENDIMENTOS!C3"/><Relationship Id="rId4" Type="http://schemas.openxmlformats.org/officeDocument/2006/relationships/hyperlink" Target="#DEPENDENTES!C3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BENS!C3"/><Relationship Id="rId3" Type="http://schemas.openxmlformats.org/officeDocument/2006/relationships/hyperlink" Target="#TITULAR!C3"/><Relationship Id="rId7" Type="http://schemas.openxmlformats.org/officeDocument/2006/relationships/hyperlink" Target="#INFORMES!C3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DESPESAS!C3"/><Relationship Id="rId5" Type="http://schemas.openxmlformats.org/officeDocument/2006/relationships/hyperlink" Target="#RENDIMENTOS!C3"/><Relationship Id="rId4" Type="http://schemas.openxmlformats.org/officeDocument/2006/relationships/hyperlink" Target="#DEPENDENTES!C3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BENS!C3"/><Relationship Id="rId3" Type="http://schemas.openxmlformats.org/officeDocument/2006/relationships/hyperlink" Target="#TITULAR!C3"/><Relationship Id="rId7" Type="http://schemas.openxmlformats.org/officeDocument/2006/relationships/hyperlink" Target="#INFORMES!C3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DESPESAS!C3"/><Relationship Id="rId5" Type="http://schemas.openxmlformats.org/officeDocument/2006/relationships/hyperlink" Target="#RENDIMENTOS!C3"/><Relationship Id="rId4" Type="http://schemas.openxmlformats.org/officeDocument/2006/relationships/hyperlink" Target="#DEPENDENTES!C3"/><Relationship Id="rId9" Type="http://schemas.openxmlformats.org/officeDocument/2006/relationships/hyperlink" Target="#BENS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BENS!C3"/><Relationship Id="rId3" Type="http://schemas.openxmlformats.org/officeDocument/2006/relationships/hyperlink" Target="#TITULAR!C3"/><Relationship Id="rId7" Type="http://schemas.openxmlformats.org/officeDocument/2006/relationships/hyperlink" Target="#INFORMES!C3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DESPESAS!C3"/><Relationship Id="rId5" Type="http://schemas.openxmlformats.org/officeDocument/2006/relationships/hyperlink" Target="#RENDIMENTOS!C3"/><Relationship Id="rId4" Type="http://schemas.openxmlformats.org/officeDocument/2006/relationships/hyperlink" Target="#DEPENDENTES!C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69850</xdr:colOff>
      <xdr:row>0</xdr:row>
      <xdr:rowOff>152400</xdr:rowOff>
    </xdr:from>
    <xdr:to>
      <xdr:col>0</xdr:col>
      <xdr:colOff>1962150</xdr:colOff>
      <xdr:row>2</xdr:row>
      <xdr:rowOff>114300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36C850B-8A71-A95A-3223-18648D6E2B3B}"/>
            </a:ext>
          </a:extLst>
        </xdr:cNvPr>
        <xdr:cNvSpPr/>
      </xdr:nvSpPr>
      <xdr:spPr>
        <a:xfrm>
          <a:off x="69850" y="152400"/>
          <a:ext cx="18923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kern="1200" baseline="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 </a:t>
          </a:r>
          <a:r>
            <a:rPr lang="pt-BR" sz="2400" b="1" kern="12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IRPF 2026</a:t>
          </a:r>
        </a:p>
      </xdr:txBody>
    </xdr:sp>
    <xdr:clientData/>
  </xdr:twoCellAnchor>
  <xdr:twoCellAnchor editAs="absolute">
    <xdr:from>
      <xdr:col>0</xdr:col>
      <xdr:colOff>606425</xdr:colOff>
      <xdr:row>2</xdr:row>
      <xdr:rowOff>223157</xdr:rowOff>
    </xdr:from>
    <xdr:to>
      <xdr:col>0</xdr:col>
      <xdr:colOff>1425575</xdr:colOff>
      <xdr:row>6</xdr:row>
      <xdr:rowOff>115207</xdr:rowOff>
    </xdr:to>
    <xdr:pic>
      <xdr:nvPicPr>
        <xdr:cNvPr id="6" name="Gráfico 5" descr="Filantropia com preenchimento sólido">
          <a:extLst>
            <a:ext uri="{FF2B5EF4-FFF2-40B4-BE49-F238E27FC236}">
              <a16:creationId xmlns:a16="http://schemas.microsoft.com/office/drawing/2014/main" id="{A5763A78-B38B-08C0-ED28-D008DC514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6425" y="642257"/>
          <a:ext cx="819150" cy="819150"/>
        </a:xfrm>
        <a:prstGeom prst="rect">
          <a:avLst/>
        </a:prstGeom>
      </xdr:spPr>
    </xdr:pic>
    <xdr:clientData/>
  </xdr:twoCellAnchor>
  <xdr:twoCellAnchor editAs="absolute">
    <xdr:from>
      <xdr:col>0</xdr:col>
      <xdr:colOff>155575</xdr:colOff>
      <xdr:row>7</xdr:row>
      <xdr:rowOff>20864</xdr:rowOff>
    </xdr:from>
    <xdr:to>
      <xdr:col>0</xdr:col>
      <xdr:colOff>1876425</xdr:colOff>
      <xdr:row>9</xdr:row>
      <xdr:rowOff>8164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480567-AC68-A74A-7CE7-004227C9A921}"/>
            </a:ext>
          </a:extLst>
        </xdr:cNvPr>
        <xdr:cNvSpPr/>
      </xdr:nvSpPr>
      <xdr:spPr>
        <a:xfrm>
          <a:off x="155575" y="1576614"/>
          <a:ext cx="1720850" cy="406400"/>
        </a:xfrm>
        <a:prstGeom prst="roundRect">
          <a:avLst>
            <a:gd name="adj" fmla="val 50000"/>
          </a:avLst>
        </a:prstGeom>
        <a:solidFill>
          <a:srgbClr val="2A62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kern="1200"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155575</xdr:colOff>
      <xdr:row>9</xdr:row>
      <xdr:rowOff>110671</xdr:rowOff>
    </xdr:from>
    <xdr:to>
      <xdr:col>0</xdr:col>
      <xdr:colOff>1876425</xdr:colOff>
      <xdr:row>11</xdr:row>
      <xdr:rowOff>97971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27957B0-3C52-4D5E-882E-DEB6F4C078AD}"/>
            </a:ext>
          </a:extLst>
        </xdr:cNvPr>
        <xdr:cNvSpPr/>
      </xdr:nvSpPr>
      <xdr:spPr>
        <a:xfrm>
          <a:off x="155575" y="2085521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kern="1200">
              <a:latin typeface="Segoe UI Black" panose="020B0A02040204020203" pitchFamily="34" charset="0"/>
              <a:ea typeface="Segoe UI Black" panose="020B0A02040204020203" pitchFamily="34" charset="0"/>
            </a:rPr>
            <a:t>DEPENDENTES</a:t>
          </a:r>
        </a:p>
      </xdr:txBody>
    </xdr:sp>
    <xdr:clientData/>
  </xdr:twoCellAnchor>
  <xdr:twoCellAnchor editAs="absolute">
    <xdr:from>
      <xdr:col>0</xdr:col>
      <xdr:colOff>155575</xdr:colOff>
      <xdr:row>11</xdr:row>
      <xdr:rowOff>206828</xdr:rowOff>
    </xdr:from>
    <xdr:to>
      <xdr:col>0</xdr:col>
      <xdr:colOff>1876425</xdr:colOff>
      <xdr:row>13</xdr:row>
      <xdr:rowOff>194128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DB3975D-E0EE-449D-A7FB-B0BDD45748F2}"/>
            </a:ext>
          </a:extLst>
        </xdr:cNvPr>
        <xdr:cNvSpPr/>
      </xdr:nvSpPr>
      <xdr:spPr>
        <a:xfrm>
          <a:off x="155575" y="2600778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RENDIMENTOS</a:t>
          </a:r>
        </a:p>
      </xdr:txBody>
    </xdr:sp>
    <xdr:clientData/>
  </xdr:twoCellAnchor>
  <xdr:twoCellAnchor editAs="absolute">
    <xdr:from>
      <xdr:col>0</xdr:col>
      <xdr:colOff>155575</xdr:colOff>
      <xdr:row>14</xdr:row>
      <xdr:rowOff>93435</xdr:rowOff>
    </xdr:from>
    <xdr:to>
      <xdr:col>0</xdr:col>
      <xdr:colOff>1876425</xdr:colOff>
      <xdr:row>16</xdr:row>
      <xdr:rowOff>80735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09DDE74-B8E9-4BB6-8BCF-4F38C6706434}"/>
            </a:ext>
          </a:extLst>
        </xdr:cNvPr>
        <xdr:cNvSpPr/>
      </xdr:nvSpPr>
      <xdr:spPr>
        <a:xfrm>
          <a:off x="155575" y="3116035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DESPESAS</a:t>
          </a:r>
        </a:p>
      </xdr:txBody>
    </xdr:sp>
    <xdr:clientData/>
  </xdr:twoCellAnchor>
  <xdr:twoCellAnchor editAs="absolute">
    <xdr:from>
      <xdr:col>0</xdr:col>
      <xdr:colOff>155575</xdr:colOff>
      <xdr:row>16</xdr:row>
      <xdr:rowOff>189592</xdr:rowOff>
    </xdr:from>
    <xdr:to>
      <xdr:col>0</xdr:col>
      <xdr:colOff>1876425</xdr:colOff>
      <xdr:row>18</xdr:row>
      <xdr:rowOff>176892</xdr:rowOff>
    </xdr:to>
    <xdr:sp macro="" textlink="">
      <xdr:nvSpPr>
        <xdr:cNvPr id="12" name="Retângulo: Cantos Arredondado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7FFEFFE-AD5E-4BA1-A87A-7853DC0AAECA}"/>
            </a:ext>
          </a:extLst>
        </xdr:cNvPr>
        <xdr:cNvSpPr/>
      </xdr:nvSpPr>
      <xdr:spPr>
        <a:xfrm>
          <a:off x="155575" y="3631292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155575</xdr:colOff>
      <xdr:row>19</xdr:row>
      <xdr:rowOff>76200</xdr:rowOff>
    </xdr:from>
    <xdr:to>
      <xdr:col>0</xdr:col>
      <xdr:colOff>1876425</xdr:colOff>
      <xdr:row>21</xdr:row>
      <xdr:rowOff>63500</xdr:rowOff>
    </xdr:to>
    <xdr:sp macro="" textlink="">
      <xdr:nvSpPr>
        <xdr:cNvPr id="13" name="Retângulo: Cantos Arredondado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5875C1B-F22C-4FB4-9FA1-0D6BA4D1BBDA}"/>
            </a:ext>
          </a:extLst>
        </xdr:cNvPr>
        <xdr:cNvSpPr/>
      </xdr:nvSpPr>
      <xdr:spPr>
        <a:xfrm>
          <a:off x="155575" y="4146550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BENS</a:t>
          </a:r>
        </a:p>
      </xdr:txBody>
    </xdr:sp>
    <xdr:clientData/>
  </xdr:twoCellAnchor>
  <xdr:twoCellAnchor editAs="absolute">
    <xdr:from>
      <xdr:col>2</xdr:col>
      <xdr:colOff>44450</xdr:colOff>
      <xdr:row>21</xdr:row>
      <xdr:rowOff>57150</xdr:rowOff>
    </xdr:from>
    <xdr:to>
      <xdr:col>2</xdr:col>
      <xdr:colOff>2343150</xdr:colOff>
      <xdr:row>22</xdr:row>
      <xdr:rowOff>82550</xdr:rowOff>
    </xdr:to>
    <xdr:grpSp>
      <xdr:nvGrpSpPr>
        <xdr:cNvPr id="23" name="Agrupar 2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489F347-AD6D-7747-507D-01F4E32A8F8A}"/>
            </a:ext>
          </a:extLst>
        </xdr:cNvPr>
        <xdr:cNvGrpSpPr/>
      </xdr:nvGrpSpPr>
      <xdr:grpSpPr>
        <a:xfrm>
          <a:off x="2743200" y="4546600"/>
          <a:ext cx="2298700" cy="234950"/>
          <a:chOff x="2743200" y="4546600"/>
          <a:chExt cx="2298700" cy="234950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F4C17AB6-46EB-B6E6-AC27-F9AA611D7882}"/>
              </a:ext>
            </a:extLst>
          </xdr:cNvPr>
          <xdr:cNvSpPr/>
        </xdr:nvSpPr>
        <xdr:spPr>
          <a:xfrm>
            <a:off x="2743200" y="4546600"/>
            <a:ext cx="2298700" cy="234950"/>
          </a:xfrm>
          <a:prstGeom prst="roundRect">
            <a:avLst/>
          </a:prstGeom>
          <a:solidFill>
            <a:srgbClr val="16324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kern="1200">
                <a:latin typeface="Segoe UI Black" panose="020B0A02040204020203" pitchFamily="34" charset="0"/>
                <a:ea typeface="Segoe UI Black" panose="020B0A02040204020203" pitchFamily="34" charset="0"/>
              </a:rPr>
              <a:t>Próximo</a:t>
            </a:r>
          </a:p>
          <a:p>
            <a:pPr algn="ctr"/>
            <a:endParaRPr lang="pt-BR" sz="1100" b="0" kern="12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cxnSp macro="">
        <xdr:nvCxnSpPr>
          <xdr:cNvPr id="5" name="Conector de Seta Reta 4">
            <a:extLst>
              <a:ext uri="{FF2B5EF4-FFF2-40B4-BE49-F238E27FC236}">
                <a16:creationId xmlns:a16="http://schemas.microsoft.com/office/drawing/2014/main" id="{B9747C19-9B7F-CDB1-1078-6E70A97A7B57}"/>
              </a:ext>
            </a:extLst>
          </xdr:cNvPr>
          <xdr:cNvCxnSpPr/>
        </xdr:nvCxnSpPr>
        <xdr:spPr>
          <a:xfrm>
            <a:off x="4286250" y="4660900"/>
            <a:ext cx="508000" cy="6350"/>
          </a:xfrm>
          <a:prstGeom prst="straightConnector1">
            <a:avLst/>
          </a:prstGeom>
          <a:ln w="28575"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69850</xdr:colOff>
      <xdr:row>0</xdr:row>
      <xdr:rowOff>152400</xdr:rowOff>
    </xdr:from>
    <xdr:to>
      <xdr:col>0</xdr:col>
      <xdr:colOff>1962150</xdr:colOff>
      <xdr:row>2</xdr:row>
      <xdr:rowOff>114300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944EBAA-15AE-4131-B86E-C2A4FEAAF0DF}"/>
            </a:ext>
          </a:extLst>
        </xdr:cNvPr>
        <xdr:cNvSpPr/>
      </xdr:nvSpPr>
      <xdr:spPr>
        <a:xfrm>
          <a:off x="69850" y="152400"/>
          <a:ext cx="18923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kern="1200" baseline="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 </a:t>
          </a:r>
          <a:r>
            <a:rPr lang="pt-BR" sz="2400" b="1" kern="12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IRPF 2026</a:t>
          </a:r>
        </a:p>
      </xdr:txBody>
    </xdr:sp>
    <xdr:clientData/>
  </xdr:twoCellAnchor>
  <xdr:twoCellAnchor editAs="absolute">
    <xdr:from>
      <xdr:col>0</xdr:col>
      <xdr:colOff>606425</xdr:colOff>
      <xdr:row>2</xdr:row>
      <xdr:rowOff>223157</xdr:rowOff>
    </xdr:from>
    <xdr:to>
      <xdr:col>0</xdr:col>
      <xdr:colOff>1425575</xdr:colOff>
      <xdr:row>6</xdr:row>
      <xdr:rowOff>115207</xdr:rowOff>
    </xdr:to>
    <xdr:pic>
      <xdr:nvPicPr>
        <xdr:cNvPr id="3" name="Gráfico 2" descr="Filantropia com preenchimento sólido">
          <a:extLst>
            <a:ext uri="{FF2B5EF4-FFF2-40B4-BE49-F238E27FC236}">
              <a16:creationId xmlns:a16="http://schemas.microsoft.com/office/drawing/2014/main" id="{92B2C5F3-BED4-46E7-ACE7-7DEC2E796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6425" y="642257"/>
          <a:ext cx="819150" cy="819150"/>
        </a:xfrm>
        <a:prstGeom prst="rect">
          <a:avLst/>
        </a:prstGeom>
      </xdr:spPr>
    </xdr:pic>
    <xdr:clientData/>
  </xdr:twoCellAnchor>
  <xdr:twoCellAnchor editAs="absolute">
    <xdr:from>
      <xdr:col>0</xdr:col>
      <xdr:colOff>155575</xdr:colOff>
      <xdr:row>7</xdr:row>
      <xdr:rowOff>20864</xdr:rowOff>
    </xdr:from>
    <xdr:to>
      <xdr:col>0</xdr:col>
      <xdr:colOff>1876425</xdr:colOff>
      <xdr:row>9</xdr:row>
      <xdr:rowOff>8164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055BAC-AD51-4B11-93ED-35FCCC63BFA2}"/>
            </a:ext>
          </a:extLst>
        </xdr:cNvPr>
        <xdr:cNvSpPr/>
      </xdr:nvSpPr>
      <xdr:spPr>
        <a:xfrm>
          <a:off x="155575" y="1576614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155575</xdr:colOff>
      <xdr:row>9</xdr:row>
      <xdr:rowOff>110671</xdr:rowOff>
    </xdr:from>
    <xdr:to>
      <xdr:col>0</xdr:col>
      <xdr:colOff>1876425</xdr:colOff>
      <xdr:row>11</xdr:row>
      <xdr:rowOff>97971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37F661-4C36-4EC8-B676-12ECD302302D}"/>
            </a:ext>
          </a:extLst>
        </xdr:cNvPr>
        <xdr:cNvSpPr/>
      </xdr:nvSpPr>
      <xdr:spPr>
        <a:xfrm>
          <a:off x="155575" y="2085521"/>
          <a:ext cx="1720850" cy="406400"/>
        </a:xfrm>
        <a:prstGeom prst="roundRect">
          <a:avLst>
            <a:gd name="adj" fmla="val 50000"/>
          </a:avLst>
        </a:prstGeom>
        <a:solidFill>
          <a:srgbClr val="2A62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DEPENDENTES</a:t>
          </a:r>
        </a:p>
      </xdr:txBody>
    </xdr:sp>
    <xdr:clientData/>
  </xdr:twoCellAnchor>
  <xdr:twoCellAnchor editAs="absolute">
    <xdr:from>
      <xdr:col>0</xdr:col>
      <xdr:colOff>155575</xdr:colOff>
      <xdr:row>11</xdr:row>
      <xdr:rowOff>206828</xdr:rowOff>
    </xdr:from>
    <xdr:to>
      <xdr:col>0</xdr:col>
      <xdr:colOff>1876425</xdr:colOff>
      <xdr:row>13</xdr:row>
      <xdr:rowOff>194128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E121FCB-FB1D-488E-A2E1-FAADC1316EC8}"/>
            </a:ext>
          </a:extLst>
        </xdr:cNvPr>
        <xdr:cNvSpPr/>
      </xdr:nvSpPr>
      <xdr:spPr>
        <a:xfrm>
          <a:off x="155575" y="2600778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RENDIMENTOS</a:t>
          </a:r>
        </a:p>
      </xdr:txBody>
    </xdr:sp>
    <xdr:clientData/>
  </xdr:twoCellAnchor>
  <xdr:twoCellAnchor editAs="absolute">
    <xdr:from>
      <xdr:col>0</xdr:col>
      <xdr:colOff>155575</xdr:colOff>
      <xdr:row>14</xdr:row>
      <xdr:rowOff>93435</xdr:rowOff>
    </xdr:from>
    <xdr:to>
      <xdr:col>0</xdr:col>
      <xdr:colOff>1876425</xdr:colOff>
      <xdr:row>16</xdr:row>
      <xdr:rowOff>80735</xdr:rowOff>
    </xdr:to>
    <xdr:sp macro="" textlink="">
      <xdr:nvSpPr>
        <xdr:cNvPr id="7" name="Retângulo: Canto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3D7CBE6-3340-4701-AE4D-149F7CADDB60}"/>
            </a:ext>
          </a:extLst>
        </xdr:cNvPr>
        <xdr:cNvSpPr/>
      </xdr:nvSpPr>
      <xdr:spPr>
        <a:xfrm>
          <a:off x="155575" y="3116035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DESPESAS</a:t>
          </a:r>
        </a:p>
      </xdr:txBody>
    </xdr:sp>
    <xdr:clientData/>
  </xdr:twoCellAnchor>
  <xdr:twoCellAnchor editAs="absolute">
    <xdr:from>
      <xdr:col>0</xdr:col>
      <xdr:colOff>155575</xdr:colOff>
      <xdr:row>16</xdr:row>
      <xdr:rowOff>189592</xdr:rowOff>
    </xdr:from>
    <xdr:to>
      <xdr:col>0</xdr:col>
      <xdr:colOff>1876425</xdr:colOff>
      <xdr:row>18</xdr:row>
      <xdr:rowOff>176892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85F7385-3A60-4EEC-83D2-9482D6903C04}"/>
            </a:ext>
          </a:extLst>
        </xdr:cNvPr>
        <xdr:cNvSpPr/>
      </xdr:nvSpPr>
      <xdr:spPr>
        <a:xfrm>
          <a:off x="155575" y="3631292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155575</xdr:colOff>
      <xdr:row>19</xdr:row>
      <xdr:rowOff>76200</xdr:rowOff>
    </xdr:from>
    <xdr:to>
      <xdr:col>0</xdr:col>
      <xdr:colOff>1876425</xdr:colOff>
      <xdr:row>21</xdr:row>
      <xdr:rowOff>63500</xdr:rowOff>
    </xdr:to>
    <xdr:sp macro="" textlink="">
      <xdr:nvSpPr>
        <xdr:cNvPr id="9" name="Retângulo: Cantos Arredondado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C223048-C0CC-4063-A19A-D3A1851B04BB}"/>
            </a:ext>
          </a:extLst>
        </xdr:cNvPr>
        <xdr:cNvSpPr/>
      </xdr:nvSpPr>
      <xdr:spPr>
        <a:xfrm>
          <a:off x="155575" y="4146550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BENS</a:t>
          </a:r>
        </a:p>
      </xdr:txBody>
    </xdr:sp>
    <xdr:clientData/>
  </xdr:twoCellAnchor>
  <xdr:twoCellAnchor editAs="absolute">
    <xdr:from>
      <xdr:col>1</xdr:col>
      <xdr:colOff>520700</xdr:colOff>
      <xdr:row>26</xdr:row>
      <xdr:rowOff>41275</xdr:rowOff>
    </xdr:from>
    <xdr:to>
      <xdr:col>3</xdr:col>
      <xdr:colOff>444500</xdr:colOff>
      <xdr:row>27</xdr:row>
      <xdr:rowOff>66675</xdr:rowOff>
    </xdr:to>
    <xdr:grpSp>
      <xdr:nvGrpSpPr>
        <xdr:cNvPr id="16" name="Agrupar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A0A0F6-7308-213F-1293-1AE4B66336B8}"/>
            </a:ext>
          </a:extLst>
        </xdr:cNvPr>
        <xdr:cNvGrpSpPr/>
      </xdr:nvGrpSpPr>
      <xdr:grpSpPr>
        <a:xfrm>
          <a:off x="2609850" y="5578475"/>
          <a:ext cx="2298700" cy="234950"/>
          <a:chOff x="2609850" y="5711825"/>
          <a:chExt cx="2298700" cy="234950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81AD47FF-42D9-000E-9FF4-518AE75097D3}"/>
              </a:ext>
            </a:extLst>
          </xdr:cNvPr>
          <xdr:cNvSpPr/>
        </xdr:nvSpPr>
        <xdr:spPr>
          <a:xfrm>
            <a:off x="2698750" y="5762625"/>
            <a:ext cx="2298700" cy="234950"/>
          </a:xfrm>
          <a:prstGeom prst="roundRect">
            <a:avLst/>
          </a:prstGeom>
          <a:solidFill>
            <a:srgbClr val="16324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kern="1200">
                <a:latin typeface="Segoe UI Black" panose="020B0A02040204020203" pitchFamily="34" charset="0"/>
                <a:ea typeface="Segoe UI Black" panose="020B0A02040204020203" pitchFamily="34" charset="0"/>
              </a:rPr>
              <a:t>Anterior</a:t>
            </a:r>
          </a:p>
          <a:p>
            <a:pPr algn="ctr"/>
            <a:endParaRPr lang="pt-BR" sz="1100" b="0" kern="12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cxnSp macro="">
        <xdr:nvCxnSpPr>
          <xdr:cNvPr id="12" name="Conector de Seta Reta 11">
            <a:extLst>
              <a:ext uri="{FF2B5EF4-FFF2-40B4-BE49-F238E27FC236}">
                <a16:creationId xmlns:a16="http://schemas.microsoft.com/office/drawing/2014/main" id="{4AFC3FFA-FC6F-09C5-DA71-A61C80EA50C1}"/>
              </a:ext>
            </a:extLst>
          </xdr:cNvPr>
          <xdr:cNvCxnSpPr/>
        </xdr:nvCxnSpPr>
        <xdr:spPr>
          <a:xfrm flipH="1">
            <a:off x="2978150" y="5880100"/>
            <a:ext cx="488950" cy="0"/>
          </a:xfrm>
          <a:prstGeom prst="straightConnector1">
            <a:avLst/>
          </a:prstGeom>
          <a:ln w="28575"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3</xdr:col>
      <xdr:colOff>577850</xdr:colOff>
      <xdr:row>26</xdr:row>
      <xdr:rowOff>92075</xdr:rowOff>
    </xdr:from>
    <xdr:to>
      <xdr:col>4</xdr:col>
      <xdr:colOff>1111250</xdr:colOff>
      <xdr:row>27</xdr:row>
      <xdr:rowOff>117475</xdr:rowOff>
    </xdr:to>
    <xdr:grpSp>
      <xdr:nvGrpSpPr>
        <xdr:cNvPr id="13" name="Agrupar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EE0E68-4B13-4906-802A-6664363D0F10}"/>
            </a:ext>
          </a:extLst>
        </xdr:cNvPr>
        <xdr:cNvGrpSpPr/>
      </xdr:nvGrpSpPr>
      <xdr:grpSpPr>
        <a:xfrm>
          <a:off x="5041900" y="5629275"/>
          <a:ext cx="2298700" cy="234950"/>
          <a:chOff x="2743200" y="4546600"/>
          <a:chExt cx="2298700" cy="234950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D1EEF9CD-0DAC-0A4B-29C6-4EB175B59010}"/>
              </a:ext>
            </a:extLst>
          </xdr:cNvPr>
          <xdr:cNvSpPr/>
        </xdr:nvSpPr>
        <xdr:spPr>
          <a:xfrm>
            <a:off x="2743200" y="4546600"/>
            <a:ext cx="2298700" cy="234950"/>
          </a:xfrm>
          <a:prstGeom prst="roundRect">
            <a:avLst/>
          </a:prstGeom>
          <a:solidFill>
            <a:srgbClr val="16324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kern="1200">
                <a:latin typeface="Segoe UI Black" panose="020B0A02040204020203" pitchFamily="34" charset="0"/>
                <a:ea typeface="Segoe UI Black" panose="020B0A02040204020203" pitchFamily="34" charset="0"/>
              </a:rPr>
              <a:t>Próximo</a:t>
            </a:r>
          </a:p>
          <a:p>
            <a:pPr algn="ctr"/>
            <a:endParaRPr lang="pt-BR" sz="1100" b="0" kern="12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cxnSp macro="">
        <xdr:nvCxnSpPr>
          <xdr:cNvPr id="15" name="Conector de Seta Reta 14">
            <a:extLst>
              <a:ext uri="{FF2B5EF4-FFF2-40B4-BE49-F238E27FC236}">
                <a16:creationId xmlns:a16="http://schemas.microsoft.com/office/drawing/2014/main" id="{B17A6852-ABE2-873B-72A0-C05C36AFE96A}"/>
              </a:ext>
            </a:extLst>
          </xdr:cNvPr>
          <xdr:cNvCxnSpPr/>
        </xdr:nvCxnSpPr>
        <xdr:spPr>
          <a:xfrm>
            <a:off x="4286250" y="4660900"/>
            <a:ext cx="508000" cy="6350"/>
          </a:xfrm>
          <a:prstGeom prst="straightConnector1">
            <a:avLst/>
          </a:prstGeom>
          <a:ln w="28575"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69850</xdr:colOff>
      <xdr:row>0</xdr:row>
      <xdr:rowOff>152400</xdr:rowOff>
    </xdr:from>
    <xdr:to>
      <xdr:col>0</xdr:col>
      <xdr:colOff>1962150</xdr:colOff>
      <xdr:row>2</xdr:row>
      <xdr:rowOff>114300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E2A32BB-EE57-4143-88EA-D5DDFE8AEAF1}"/>
            </a:ext>
          </a:extLst>
        </xdr:cNvPr>
        <xdr:cNvSpPr/>
      </xdr:nvSpPr>
      <xdr:spPr>
        <a:xfrm>
          <a:off x="69850" y="152400"/>
          <a:ext cx="18923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kern="1200" baseline="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 </a:t>
          </a:r>
          <a:r>
            <a:rPr lang="pt-BR" sz="2400" b="1" kern="12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IRPF 2026</a:t>
          </a:r>
        </a:p>
      </xdr:txBody>
    </xdr:sp>
    <xdr:clientData/>
  </xdr:twoCellAnchor>
  <xdr:twoCellAnchor editAs="absolute">
    <xdr:from>
      <xdr:col>0</xdr:col>
      <xdr:colOff>606425</xdr:colOff>
      <xdr:row>2</xdr:row>
      <xdr:rowOff>223157</xdr:rowOff>
    </xdr:from>
    <xdr:to>
      <xdr:col>0</xdr:col>
      <xdr:colOff>1425575</xdr:colOff>
      <xdr:row>6</xdr:row>
      <xdr:rowOff>115207</xdr:rowOff>
    </xdr:to>
    <xdr:pic>
      <xdr:nvPicPr>
        <xdr:cNvPr id="3" name="Gráfico 2" descr="Filantropia com preenchimento sólido">
          <a:extLst>
            <a:ext uri="{FF2B5EF4-FFF2-40B4-BE49-F238E27FC236}">
              <a16:creationId xmlns:a16="http://schemas.microsoft.com/office/drawing/2014/main" id="{0A78FDB1-D59D-4D5C-A58D-FAB4ED820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6425" y="642257"/>
          <a:ext cx="819150" cy="819150"/>
        </a:xfrm>
        <a:prstGeom prst="rect">
          <a:avLst/>
        </a:prstGeom>
      </xdr:spPr>
    </xdr:pic>
    <xdr:clientData/>
  </xdr:twoCellAnchor>
  <xdr:twoCellAnchor editAs="absolute">
    <xdr:from>
      <xdr:col>0</xdr:col>
      <xdr:colOff>155575</xdr:colOff>
      <xdr:row>7</xdr:row>
      <xdr:rowOff>20864</xdr:rowOff>
    </xdr:from>
    <xdr:to>
      <xdr:col>0</xdr:col>
      <xdr:colOff>1876425</xdr:colOff>
      <xdr:row>9</xdr:row>
      <xdr:rowOff>8164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0C7360-A1D5-4411-8C8F-76746C5DB2D4}"/>
            </a:ext>
          </a:extLst>
        </xdr:cNvPr>
        <xdr:cNvSpPr/>
      </xdr:nvSpPr>
      <xdr:spPr>
        <a:xfrm>
          <a:off x="155575" y="1576614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155575</xdr:colOff>
      <xdr:row>9</xdr:row>
      <xdr:rowOff>110671</xdr:rowOff>
    </xdr:from>
    <xdr:to>
      <xdr:col>0</xdr:col>
      <xdr:colOff>1876425</xdr:colOff>
      <xdr:row>11</xdr:row>
      <xdr:rowOff>97971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7ADC71E-4CCE-4011-85BE-391865EB568C}"/>
            </a:ext>
          </a:extLst>
        </xdr:cNvPr>
        <xdr:cNvSpPr/>
      </xdr:nvSpPr>
      <xdr:spPr>
        <a:xfrm>
          <a:off x="155575" y="2085521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kern="1200">
              <a:latin typeface="Segoe UI Black" panose="020B0A02040204020203" pitchFamily="34" charset="0"/>
              <a:ea typeface="Segoe UI Black" panose="020B0A02040204020203" pitchFamily="34" charset="0"/>
            </a:rPr>
            <a:t>DEPENDENTES</a:t>
          </a:r>
        </a:p>
      </xdr:txBody>
    </xdr:sp>
    <xdr:clientData/>
  </xdr:twoCellAnchor>
  <xdr:twoCellAnchor editAs="absolute">
    <xdr:from>
      <xdr:col>0</xdr:col>
      <xdr:colOff>155575</xdr:colOff>
      <xdr:row>11</xdr:row>
      <xdr:rowOff>206828</xdr:rowOff>
    </xdr:from>
    <xdr:to>
      <xdr:col>0</xdr:col>
      <xdr:colOff>1876425</xdr:colOff>
      <xdr:row>13</xdr:row>
      <xdr:rowOff>194128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FA36FAE-936D-4863-8E6E-06BE4B7C3B22}"/>
            </a:ext>
          </a:extLst>
        </xdr:cNvPr>
        <xdr:cNvSpPr/>
      </xdr:nvSpPr>
      <xdr:spPr>
        <a:xfrm>
          <a:off x="155575" y="2600778"/>
          <a:ext cx="1720850" cy="406400"/>
        </a:xfrm>
        <a:prstGeom prst="roundRect">
          <a:avLst>
            <a:gd name="adj" fmla="val 50000"/>
          </a:avLst>
        </a:prstGeom>
        <a:solidFill>
          <a:srgbClr val="2A62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RENDIMENTOS</a:t>
          </a:r>
        </a:p>
      </xdr:txBody>
    </xdr:sp>
    <xdr:clientData/>
  </xdr:twoCellAnchor>
  <xdr:twoCellAnchor editAs="absolute">
    <xdr:from>
      <xdr:col>0</xdr:col>
      <xdr:colOff>155575</xdr:colOff>
      <xdr:row>14</xdr:row>
      <xdr:rowOff>93435</xdr:rowOff>
    </xdr:from>
    <xdr:to>
      <xdr:col>0</xdr:col>
      <xdr:colOff>1876425</xdr:colOff>
      <xdr:row>16</xdr:row>
      <xdr:rowOff>80735</xdr:rowOff>
    </xdr:to>
    <xdr:sp macro="" textlink="">
      <xdr:nvSpPr>
        <xdr:cNvPr id="7" name="Retângulo: Canto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7A09B30-A38E-419B-913C-D48680B2FB0F}"/>
            </a:ext>
          </a:extLst>
        </xdr:cNvPr>
        <xdr:cNvSpPr/>
      </xdr:nvSpPr>
      <xdr:spPr>
        <a:xfrm>
          <a:off x="155575" y="3116035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DESPESAS</a:t>
          </a:r>
        </a:p>
      </xdr:txBody>
    </xdr:sp>
    <xdr:clientData/>
  </xdr:twoCellAnchor>
  <xdr:twoCellAnchor editAs="absolute">
    <xdr:from>
      <xdr:col>0</xdr:col>
      <xdr:colOff>155575</xdr:colOff>
      <xdr:row>16</xdr:row>
      <xdr:rowOff>189592</xdr:rowOff>
    </xdr:from>
    <xdr:to>
      <xdr:col>0</xdr:col>
      <xdr:colOff>1876425</xdr:colOff>
      <xdr:row>18</xdr:row>
      <xdr:rowOff>176892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0CA1A4E-BA6B-4280-8CE3-60407AAFA4D7}"/>
            </a:ext>
          </a:extLst>
        </xdr:cNvPr>
        <xdr:cNvSpPr/>
      </xdr:nvSpPr>
      <xdr:spPr>
        <a:xfrm>
          <a:off x="155575" y="3631292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155575</xdr:colOff>
      <xdr:row>19</xdr:row>
      <xdr:rowOff>76200</xdr:rowOff>
    </xdr:from>
    <xdr:to>
      <xdr:col>0</xdr:col>
      <xdr:colOff>1876425</xdr:colOff>
      <xdr:row>21</xdr:row>
      <xdr:rowOff>63500</xdr:rowOff>
    </xdr:to>
    <xdr:sp macro="" textlink="">
      <xdr:nvSpPr>
        <xdr:cNvPr id="9" name="Retângulo: Cantos Arredondado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BEB606D-9D04-49CB-8980-2FD98469DC11}"/>
            </a:ext>
          </a:extLst>
        </xdr:cNvPr>
        <xdr:cNvSpPr/>
      </xdr:nvSpPr>
      <xdr:spPr>
        <a:xfrm>
          <a:off x="155575" y="4146550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BENS</a:t>
          </a:r>
        </a:p>
      </xdr:txBody>
    </xdr:sp>
    <xdr:clientData/>
  </xdr:twoCellAnchor>
  <xdr:twoCellAnchor editAs="absolute">
    <xdr:from>
      <xdr:col>1</xdr:col>
      <xdr:colOff>501650</xdr:colOff>
      <xdr:row>27</xdr:row>
      <xdr:rowOff>50800</xdr:rowOff>
    </xdr:from>
    <xdr:to>
      <xdr:col>3</xdr:col>
      <xdr:colOff>69850</xdr:colOff>
      <xdr:row>28</xdr:row>
      <xdr:rowOff>76200</xdr:rowOff>
    </xdr:to>
    <xdr:grpSp>
      <xdr:nvGrpSpPr>
        <xdr:cNvPr id="10" name="Agrupar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FFD606C-3747-4F5D-A7AB-B8359DDD2D2F}"/>
            </a:ext>
          </a:extLst>
        </xdr:cNvPr>
        <xdr:cNvGrpSpPr/>
      </xdr:nvGrpSpPr>
      <xdr:grpSpPr>
        <a:xfrm>
          <a:off x="2590800" y="5797550"/>
          <a:ext cx="2298700" cy="234950"/>
          <a:chOff x="2609850" y="5711825"/>
          <a:chExt cx="2298700" cy="234950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13118D17-090E-78AD-339C-B82F3895958E}"/>
              </a:ext>
            </a:extLst>
          </xdr:cNvPr>
          <xdr:cNvSpPr/>
        </xdr:nvSpPr>
        <xdr:spPr>
          <a:xfrm>
            <a:off x="2698750" y="5762625"/>
            <a:ext cx="2298700" cy="234950"/>
          </a:xfrm>
          <a:prstGeom prst="roundRect">
            <a:avLst/>
          </a:prstGeom>
          <a:solidFill>
            <a:srgbClr val="16324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kern="1200">
                <a:latin typeface="Segoe UI Black" panose="020B0A02040204020203" pitchFamily="34" charset="0"/>
                <a:ea typeface="Segoe UI Black" panose="020B0A02040204020203" pitchFamily="34" charset="0"/>
              </a:rPr>
              <a:t>Anterior</a:t>
            </a:r>
          </a:p>
          <a:p>
            <a:pPr algn="ctr"/>
            <a:endParaRPr lang="pt-BR" sz="1100" b="0" kern="12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cxnSp macro="">
        <xdr:nvCxnSpPr>
          <xdr:cNvPr id="12" name="Conector de Seta Reta 11">
            <a:extLst>
              <a:ext uri="{FF2B5EF4-FFF2-40B4-BE49-F238E27FC236}">
                <a16:creationId xmlns:a16="http://schemas.microsoft.com/office/drawing/2014/main" id="{D5B2EFA8-FAE3-CBBA-36A4-97D78982F2F4}"/>
              </a:ext>
            </a:extLst>
          </xdr:cNvPr>
          <xdr:cNvCxnSpPr/>
        </xdr:nvCxnSpPr>
        <xdr:spPr>
          <a:xfrm flipH="1">
            <a:off x="2978150" y="5880100"/>
            <a:ext cx="488950" cy="0"/>
          </a:xfrm>
          <a:prstGeom prst="straightConnector1">
            <a:avLst/>
          </a:prstGeom>
          <a:ln w="28575"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3</xdr:col>
      <xdr:colOff>203200</xdr:colOff>
      <xdr:row>27</xdr:row>
      <xdr:rowOff>101600</xdr:rowOff>
    </xdr:from>
    <xdr:to>
      <xdr:col>4</xdr:col>
      <xdr:colOff>381000</xdr:colOff>
      <xdr:row>28</xdr:row>
      <xdr:rowOff>127000</xdr:rowOff>
    </xdr:to>
    <xdr:grpSp>
      <xdr:nvGrpSpPr>
        <xdr:cNvPr id="13" name="Agrupar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EB8F698-862E-4BB6-81CA-E34608FE3FE1}"/>
            </a:ext>
          </a:extLst>
        </xdr:cNvPr>
        <xdr:cNvGrpSpPr/>
      </xdr:nvGrpSpPr>
      <xdr:grpSpPr>
        <a:xfrm>
          <a:off x="5022850" y="5848350"/>
          <a:ext cx="2298700" cy="234950"/>
          <a:chOff x="2743200" y="4546600"/>
          <a:chExt cx="2298700" cy="234950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85E1AB2E-ADB5-7235-2478-7E6C0FBB8853}"/>
              </a:ext>
            </a:extLst>
          </xdr:cNvPr>
          <xdr:cNvSpPr/>
        </xdr:nvSpPr>
        <xdr:spPr>
          <a:xfrm>
            <a:off x="2743200" y="4546600"/>
            <a:ext cx="2298700" cy="234950"/>
          </a:xfrm>
          <a:prstGeom prst="roundRect">
            <a:avLst/>
          </a:prstGeom>
          <a:solidFill>
            <a:srgbClr val="16324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kern="1200">
                <a:latin typeface="Segoe UI Black" panose="020B0A02040204020203" pitchFamily="34" charset="0"/>
                <a:ea typeface="Segoe UI Black" panose="020B0A02040204020203" pitchFamily="34" charset="0"/>
              </a:rPr>
              <a:t>Próximo</a:t>
            </a:r>
          </a:p>
          <a:p>
            <a:pPr algn="ctr"/>
            <a:endParaRPr lang="pt-BR" sz="1100" b="0" kern="12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cxnSp macro="">
        <xdr:nvCxnSpPr>
          <xdr:cNvPr id="15" name="Conector de Seta Reta 14">
            <a:extLst>
              <a:ext uri="{FF2B5EF4-FFF2-40B4-BE49-F238E27FC236}">
                <a16:creationId xmlns:a16="http://schemas.microsoft.com/office/drawing/2014/main" id="{4EA83B76-F9AB-14DF-7F67-8DC930B32089}"/>
              </a:ext>
            </a:extLst>
          </xdr:cNvPr>
          <xdr:cNvCxnSpPr/>
        </xdr:nvCxnSpPr>
        <xdr:spPr>
          <a:xfrm>
            <a:off x="4286250" y="4660900"/>
            <a:ext cx="508000" cy="6350"/>
          </a:xfrm>
          <a:prstGeom prst="straightConnector1">
            <a:avLst/>
          </a:prstGeom>
          <a:ln w="28575"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69850</xdr:colOff>
      <xdr:row>0</xdr:row>
      <xdr:rowOff>152400</xdr:rowOff>
    </xdr:from>
    <xdr:to>
      <xdr:col>0</xdr:col>
      <xdr:colOff>1962150</xdr:colOff>
      <xdr:row>2</xdr:row>
      <xdr:rowOff>114300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E0259A7-FADB-49F2-94DB-2E91E64A2D85}"/>
            </a:ext>
          </a:extLst>
        </xdr:cNvPr>
        <xdr:cNvSpPr/>
      </xdr:nvSpPr>
      <xdr:spPr>
        <a:xfrm>
          <a:off x="69850" y="152400"/>
          <a:ext cx="18923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kern="1200" baseline="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 </a:t>
          </a:r>
          <a:r>
            <a:rPr lang="pt-BR" sz="2400" b="1" kern="12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IRPF 2026</a:t>
          </a:r>
        </a:p>
      </xdr:txBody>
    </xdr:sp>
    <xdr:clientData/>
  </xdr:twoCellAnchor>
  <xdr:twoCellAnchor editAs="absolute">
    <xdr:from>
      <xdr:col>0</xdr:col>
      <xdr:colOff>606425</xdr:colOff>
      <xdr:row>2</xdr:row>
      <xdr:rowOff>223157</xdr:rowOff>
    </xdr:from>
    <xdr:to>
      <xdr:col>0</xdr:col>
      <xdr:colOff>1425575</xdr:colOff>
      <xdr:row>6</xdr:row>
      <xdr:rowOff>115207</xdr:rowOff>
    </xdr:to>
    <xdr:pic>
      <xdr:nvPicPr>
        <xdr:cNvPr id="3" name="Gráfico 2" descr="Filantropia com preenchimento sólido">
          <a:extLst>
            <a:ext uri="{FF2B5EF4-FFF2-40B4-BE49-F238E27FC236}">
              <a16:creationId xmlns:a16="http://schemas.microsoft.com/office/drawing/2014/main" id="{1D331ED1-3E00-449C-8008-0ADC8AEBF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6425" y="642257"/>
          <a:ext cx="819150" cy="819150"/>
        </a:xfrm>
        <a:prstGeom prst="rect">
          <a:avLst/>
        </a:prstGeom>
      </xdr:spPr>
    </xdr:pic>
    <xdr:clientData/>
  </xdr:twoCellAnchor>
  <xdr:twoCellAnchor editAs="absolute">
    <xdr:from>
      <xdr:col>0</xdr:col>
      <xdr:colOff>155575</xdr:colOff>
      <xdr:row>7</xdr:row>
      <xdr:rowOff>20864</xdr:rowOff>
    </xdr:from>
    <xdr:to>
      <xdr:col>0</xdr:col>
      <xdr:colOff>1876425</xdr:colOff>
      <xdr:row>9</xdr:row>
      <xdr:rowOff>8164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FD0F30A-3B80-4A24-8607-283890A99B39}"/>
            </a:ext>
          </a:extLst>
        </xdr:cNvPr>
        <xdr:cNvSpPr/>
      </xdr:nvSpPr>
      <xdr:spPr>
        <a:xfrm>
          <a:off x="155575" y="1576614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155575</xdr:colOff>
      <xdr:row>9</xdr:row>
      <xdr:rowOff>110671</xdr:rowOff>
    </xdr:from>
    <xdr:to>
      <xdr:col>0</xdr:col>
      <xdr:colOff>1876425</xdr:colOff>
      <xdr:row>11</xdr:row>
      <xdr:rowOff>97971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041AB1A-724D-42F2-AD5B-EB260D2525D8}"/>
            </a:ext>
          </a:extLst>
        </xdr:cNvPr>
        <xdr:cNvSpPr/>
      </xdr:nvSpPr>
      <xdr:spPr>
        <a:xfrm>
          <a:off x="155575" y="2085521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kern="1200">
              <a:latin typeface="Segoe UI Black" panose="020B0A02040204020203" pitchFamily="34" charset="0"/>
              <a:ea typeface="Segoe UI Black" panose="020B0A02040204020203" pitchFamily="34" charset="0"/>
            </a:rPr>
            <a:t>DEPENDENTES</a:t>
          </a:r>
        </a:p>
      </xdr:txBody>
    </xdr:sp>
    <xdr:clientData/>
  </xdr:twoCellAnchor>
  <xdr:twoCellAnchor editAs="absolute">
    <xdr:from>
      <xdr:col>0</xdr:col>
      <xdr:colOff>155575</xdr:colOff>
      <xdr:row>11</xdr:row>
      <xdr:rowOff>206828</xdr:rowOff>
    </xdr:from>
    <xdr:to>
      <xdr:col>0</xdr:col>
      <xdr:colOff>1876425</xdr:colOff>
      <xdr:row>13</xdr:row>
      <xdr:rowOff>194128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1CDFCB2-1BA1-48EA-8E0A-1F592746BCCE}"/>
            </a:ext>
          </a:extLst>
        </xdr:cNvPr>
        <xdr:cNvSpPr/>
      </xdr:nvSpPr>
      <xdr:spPr>
        <a:xfrm>
          <a:off x="155575" y="2600778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RENDIMENTOS</a:t>
          </a:r>
        </a:p>
      </xdr:txBody>
    </xdr:sp>
    <xdr:clientData/>
  </xdr:twoCellAnchor>
  <xdr:twoCellAnchor editAs="absolute">
    <xdr:from>
      <xdr:col>0</xdr:col>
      <xdr:colOff>155575</xdr:colOff>
      <xdr:row>14</xdr:row>
      <xdr:rowOff>93435</xdr:rowOff>
    </xdr:from>
    <xdr:to>
      <xdr:col>0</xdr:col>
      <xdr:colOff>1876425</xdr:colOff>
      <xdr:row>16</xdr:row>
      <xdr:rowOff>80735</xdr:rowOff>
    </xdr:to>
    <xdr:sp macro="" textlink="">
      <xdr:nvSpPr>
        <xdr:cNvPr id="7" name="Retângulo: Canto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0F7DE10-A14D-46C7-85E4-D5D452C543DF}"/>
            </a:ext>
          </a:extLst>
        </xdr:cNvPr>
        <xdr:cNvSpPr/>
      </xdr:nvSpPr>
      <xdr:spPr>
        <a:xfrm>
          <a:off x="155575" y="3116035"/>
          <a:ext cx="1720850" cy="406400"/>
        </a:xfrm>
        <a:prstGeom prst="roundRect">
          <a:avLst>
            <a:gd name="adj" fmla="val 50000"/>
          </a:avLst>
        </a:prstGeom>
        <a:solidFill>
          <a:srgbClr val="2A62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DESPESAS</a:t>
          </a:r>
        </a:p>
      </xdr:txBody>
    </xdr:sp>
    <xdr:clientData/>
  </xdr:twoCellAnchor>
  <xdr:twoCellAnchor editAs="absolute">
    <xdr:from>
      <xdr:col>0</xdr:col>
      <xdr:colOff>155575</xdr:colOff>
      <xdr:row>16</xdr:row>
      <xdr:rowOff>189592</xdr:rowOff>
    </xdr:from>
    <xdr:to>
      <xdr:col>0</xdr:col>
      <xdr:colOff>1876425</xdr:colOff>
      <xdr:row>18</xdr:row>
      <xdr:rowOff>176892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F74B2C-2550-4CB8-B108-8E454E5CA353}"/>
            </a:ext>
          </a:extLst>
        </xdr:cNvPr>
        <xdr:cNvSpPr/>
      </xdr:nvSpPr>
      <xdr:spPr>
        <a:xfrm>
          <a:off x="155575" y="3631292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155575</xdr:colOff>
      <xdr:row>19</xdr:row>
      <xdr:rowOff>76200</xdr:rowOff>
    </xdr:from>
    <xdr:to>
      <xdr:col>0</xdr:col>
      <xdr:colOff>1876425</xdr:colOff>
      <xdr:row>21</xdr:row>
      <xdr:rowOff>63500</xdr:rowOff>
    </xdr:to>
    <xdr:sp macro="" textlink="">
      <xdr:nvSpPr>
        <xdr:cNvPr id="9" name="Retângulo: Cantos Arredondado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CA0D4AF-3C66-4B41-BAD2-0BBB156F7C75}"/>
            </a:ext>
          </a:extLst>
        </xdr:cNvPr>
        <xdr:cNvSpPr/>
      </xdr:nvSpPr>
      <xdr:spPr>
        <a:xfrm>
          <a:off x="155575" y="4146550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BENS</a:t>
          </a:r>
        </a:p>
      </xdr:txBody>
    </xdr:sp>
    <xdr:clientData/>
  </xdr:twoCellAnchor>
  <xdr:twoCellAnchor editAs="absolute">
    <xdr:from>
      <xdr:col>1</xdr:col>
      <xdr:colOff>501650</xdr:colOff>
      <xdr:row>27</xdr:row>
      <xdr:rowOff>50800</xdr:rowOff>
    </xdr:from>
    <xdr:to>
      <xdr:col>3</xdr:col>
      <xdr:colOff>234950</xdr:colOff>
      <xdr:row>28</xdr:row>
      <xdr:rowOff>76200</xdr:rowOff>
    </xdr:to>
    <xdr:grpSp>
      <xdr:nvGrpSpPr>
        <xdr:cNvPr id="10" name="Agrupar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A83204-C11A-433C-8473-7BFF4B1F0B71}"/>
            </a:ext>
          </a:extLst>
        </xdr:cNvPr>
        <xdr:cNvGrpSpPr/>
      </xdr:nvGrpSpPr>
      <xdr:grpSpPr>
        <a:xfrm>
          <a:off x="2590800" y="5797550"/>
          <a:ext cx="2298700" cy="234950"/>
          <a:chOff x="2609850" y="5711825"/>
          <a:chExt cx="2298700" cy="234950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2C41BA7D-1A87-600E-E287-B14F88832C6F}"/>
              </a:ext>
            </a:extLst>
          </xdr:cNvPr>
          <xdr:cNvSpPr/>
        </xdr:nvSpPr>
        <xdr:spPr>
          <a:xfrm>
            <a:off x="2698750" y="5762625"/>
            <a:ext cx="2298700" cy="234950"/>
          </a:xfrm>
          <a:prstGeom prst="roundRect">
            <a:avLst/>
          </a:prstGeom>
          <a:solidFill>
            <a:srgbClr val="16324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kern="1200">
                <a:latin typeface="Segoe UI Black" panose="020B0A02040204020203" pitchFamily="34" charset="0"/>
                <a:ea typeface="Segoe UI Black" panose="020B0A02040204020203" pitchFamily="34" charset="0"/>
              </a:rPr>
              <a:t>Anterior</a:t>
            </a:r>
          </a:p>
          <a:p>
            <a:pPr algn="ctr"/>
            <a:endParaRPr lang="pt-BR" sz="1100" b="0" kern="12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cxnSp macro="">
        <xdr:nvCxnSpPr>
          <xdr:cNvPr id="12" name="Conector de Seta Reta 11">
            <a:extLst>
              <a:ext uri="{FF2B5EF4-FFF2-40B4-BE49-F238E27FC236}">
                <a16:creationId xmlns:a16="http://schemas.microsoft.com/office/drawing/2014/main" id="{B361C8AE-EFC8-DFBA-DD99-07C318D40E79}"/>
              </a:ext>
            </a:extLst>
          </xdr:cNvPr>
          <xdr:cNvCxnSpPr/>
        </xdr:nvCxnSpPr>
        <xdr:spPr>
          <a:xfrm flipH="1">
            <a:off x="2978150" y="5880100"/>
            <a:ext cx="488950" cy="0"/>
          </a:xfrm>
          <a:prstGeom prst="straightConnector1">
            <a:avLst/>
          </a:prstGeom>
          <a:ln w="28575"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3</xdr:col>
      <xdr:colOff>368300</xdr:colOff>
      <xdr:row>27</xdr:row>
      <xdr:rowOff>101600</xdr:rowOff>
    </xdr:from>
    <xdr:to>
      <xdr:col>4</xdr:col>
      <xdr:colOff>812800</xdr:colOff>
      <xdr:row>28</xdr:row>
      <xdr:rowOff>127000</xdr:rowOff>
    </xdr:to>
    <xdr:grpSp>
      <xdr:nvGrpSpPr>
        <xdr:cNvPr id="13" name="Agrupar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DF75ADD-5FEE-4830-933B-CEE719EAE6AF}"/>
            </a:ext>
          </a:extLst>
        </xdr:cNvPr>
        <xdr:cNvGrpSpPr/>
      </xdr:nvGrpSpPr>
      <xdr:grpSpPr>
        <a:xfrm>
          <a:off x="5022850" y="5848350"/>
          <a:ext cx="2298700" cy="234950"/>
          <a:chOff x="2743200" y="4546600"/>
          <a:chExt cx="2298700" cy="234950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BF5428A2-7070-5EA4-8B94-BB612FE2F1A4}"/>
              </a:ext>
            </a:extLst>
          </xdr:cNvPr>
          <xdr:cNvSpPr/>
        </xdr:nvSpPr>
        <xdr:spPr>
          <a:xfrm>
            <a:off x="2743200" y="4546600"/>
            <a:ext cx="2298700" cy="234950"/>
          </a:xfrm>
          <a:prstGeom prst="roundRect">
            <a:avLst/>
          </a:prstGeom>
          <a:solidFill>
            <a:srgbClr val="16324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kern="1200">
                <a:latin typeface="Segoe UI Black" panose="020B0A02040204020203" pitchFamily="34" charset="0"/>
                <a:ea typeface="Segoe UI Black" panose="020B0A02040204020203" pitchFamily="34" charset="0"/>
              </a:rPr>
              <a:t>Próximo</a:t>
            </a:r>
          </a:p>
          <a:p>
            <a:pPr algn="ctr"/>
            <a:endParaRPr lang="pt-BR" sz="1100" b="0" kern="12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cxnSp macro="">
        <xdr:nvCxnSpPr>
          <xdr:cNvPr id="15" name="Conector de Seta Reta 14">
            <a:extLst>
              <a:ext uri="{FF2B5EF4-FFF2-40B4-BE49-F238E27FC236}">
                <a16:creationId xmlns:a16="http://schemas.microsoft.com/office/drawing/2014/main" id="{B54A7CD4-2B50-3BD2-78C0-EE016E714B72}"/>
              </a:ext>
            </a:extLst>
          </xdr:cNvPr>
          <xdr:cNvCxnSpPr/>
        </xdr:nvCxnSpPr>
        <xdr:spPr>
          <a:xfrm>
            <a:off x="4286250" y="4660900"/>
            <a:ext cx="508000" cy="6350"/>
          </a:xfrm>
          <a:prstGeom prst="straightConnector1">
            <a:avLst/>
          </a:prstGeom>
          <a:ln w="28575"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69850</xdr:colOff>
      <xdr:row>0</xdr:row>
      <xdr:rowOff>152400</xdr:rowOff>
    </xdr:from>
    <xdr:to>
      <xdr:col>0</xdr:col>
      <xdr:colOff>1962150</xdr:colOff>
      <xdr:row>2</xdr:row>
      <xdr:rowOff>114300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4CB0943-1FA3-4F15-83CB-1E701113EC1B}"/>
            </a:ext>
          </a:extLst>
        </xdr:cNvPr>
        <xdr:cNvSpPr/>
      </xdr:nvSpPr>
      <xdr:spPr>
        <a:xfrm>
          <a:off x="69850" y="152400"/>
          <a:ext cx="18923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kern="1200" baseline="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 </a:t>
          </a:r>
          <a:r>
            <a:rPr lang="pt-BR" sz="2400" b="1" kern="12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IRPF 2026</a:t>
          </a:r>
        </a:p>
      </xdr:txBody>
    </xdr:sp>
    <xdr:clientData/>
  </xdr:twoCellAnchor>
  <xdr:twoCellAnchor editAs="absolute">
    <xdr:from>
      <xdr:col>0</xdr:col>
      <xdr:colOff>606425</xdr:colOff>
      <xdr:row>2</xdr:row>
      <xdr:rowOff>223157</xdr:rowOff>
    </xdr:from>
    <xdr:to>
      <xdr:col>0</xdr:col>
      <xdr:colOff>1425575</xdr:colOff>
      <xdr:row>6</xdr:row>
      <xdr:rowOff>115207</xdr:rowOff>
    </xdr:to>
    <xdr:pic>
      <xdr:nvPicPr>
        <xdr:cNvPr id="3" name="Gráfico 2" descr="Filantropia com preenchimento sólido">
          <a:extLst>
            <a:ext uri="{FF2B5EF4-FFF2-40B4-BE49-F238E27FC236}">
              <a16:creationId xmlns:a16="http://schemas.microsoft.com/office/drawing/2014/main" id="{D1DD9FDF-A91A-4925-9AB4-E44636463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6425" y="642257"/>
          <a:ext cx="819150" cy="819150"/>
        </a:xfrm>
        <a:prstGeom prst="rect">
          <a:avLst/>
        </a:prstGeom>
      </xdr:spPr>
    </xdr:pic>
    <xdr:clientData/>
  </xdr:twoCellAnchor>
  <xdr:twoCellAnchor editAs="absolute">
    <xdr:from>
      <xdr:col>0</xdr:col>
      <xdr:colOff>155575</xdr:colOff>
      <xdr:row>7</xdr:row>
      <xdr:rowOff>20864</xdr:rowOff>
    </xdr:from>
    <xdr:to>
      <xdr:col>0</xdr:col>
      <xdr:colOff>1876425</xdr:colOff>
      <xdr:row>9</xdr:row>
      <xdr:rowOff>8164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46C16D2-1B12-4EA0-9724-2E197B79BD4E}"/>
            </a:ext>
          </a:extLst>
        </xdr:cNvPr>
        <xdr:cNvSpPr/>
      </xdr:nvSpPr>
      <xdr:spPr>
        <a:xfrm>
          <a:off x="155575" y="1576614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155575</xdr:colOff>
      <xdr:row>9</xdr:row>
      <xdr:rowOff>110671</xdr:rowOff>
    </xdr:from>
    <xdr:to>
      <xdr:col>0</xdr:col>
      <xdr:colOff>1876425</xdr:colOff>
      <xdr:row>11</xdr:row>
      <xdr:rowOff>97971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74D58A6-7201-44F2-B903-9B74300EF4AD}"/>
            </a:ext>
          </a:extLst>
        </xdr:cNvPr>
        <xdr:cNvSpPr/>
      </xdr:nvSpPr>
      <xdr:spPr>
        <a:xfrm>
          <a:off x="155575" y="2085521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kern="1200">
              <a:latin typeface="Segoe UI Black" panose="020B0A02040204020203" pitchFamily="34" charset="0"/>
              <a:ea typeface="Segoe UI Black" panose="020B0A02040204020203" pitchFamily="34" charset="0"/>
            </a:rPr>
            <a:t>DEPENDENTES</a:t>
          </a:r>
        </a:p>
      </xdr:txBody>
    </xdr:sp>
    <xdr:clientData/>
  </xdr:twoCellAnchor>
  <xdr:twoCellAnchor editAs="absolute">
    <xdr:from>
      <xdr:col>0</xdr:col>
      <xdr:colOff>155575</xdr:colOff>
      <xdr:row>11</xdr:row>
      <xdr:rowOff>206828</xdr:rowOff>
    </xdr:from>
    <xdr:to>
      <xdr:col>0</xdr:col>
      <xdr:colOff>1876425</xdr:colOff>
      <xdr:row>13</xdr:row>
      <xdr:rowOff>194128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D4C7B04-F054-4D0F-A29C-6EB178367364}"/>
            </a:ext>
          </a:extLst>
        </xdr:cNvPr>
        <xdr:cNvSpPr/>
      </xdr:nvSpPr>
      <xdr:spPr>
        <a:xfrm>
          <a:off x="155575" y="2600778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RENDIMENTOS</a:t>
          </a:r>
        </a:p>
      </xdr:txBody>
    </xdr:sp>
    <xdr:clientData/>
  </xdr:twoCellAnchor>
  <xdr:twoCellAnchor editAs="absolute">
    <xdr:from>
      <xdr:col>0</xdr:col>
      <xdr:colOff>174625</xdr:colOff>
      <xdr:row>14</xdr:row>
      <xdr:rowOff>87085</xdr:rowOff>
    </xdr:from>
    <xdr:to>
      <xdr:col>0</xdr:col>
      <xdr:colOff>1895475</xdr:colOff>
      <xdr:row>16</xdr:row>
      <xdr:rowOff>74385</xdr:rowOff>
    </xdr:to>
    <xdr:sp macro="" textlink="">
      <xdr:nvSpPr>
        <xdr:cNvPr id="7" name="Retângulo: Canto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81338A4-80D4-451F-B32B-2DD1A0D731BE}"/>
            </a:ext>
          </a:extLst>
        </xdr:cNvPr>
        <xdr:cNvSpPr/>
      </xdr:nvSpPr>
      <xdr:spPr>
        <a:xfrm>
          <a:off x="174625" y="3109685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DESPESAS</a:t>
          </a:r>
        </a:p>
      </xdr:txBody>
    </xdr:sp>
    <xdr:clientData/>
  </xdr:twoCellAnchor>
  <xdr:twoCellAnchor editAs="absolute">
    <xdr:from>
      <xdr:col>0</xdr:col>
      <xdr:colOff>155575</xdr:colOff>
      <xdr:row>16</xdr:row>
      <xdr:rowOff>189592</xdr:rowOff>
    </xdr:from>
    <xdr:to>
      <xdr:col>0</xdr:col>
      <xdr:colOff>1876425</xdr:colOff>
      <xdr:row>18</xdr:row>
      <xdr:rowOff>176892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95FFC69-5C1C-43B6-B3BF-2A911D2C788F}"/>
            </a:ext>
          </a:extLst>
        </xdr:cNvPr>
        <xdr:cNvSpPr/>
      </xdr:nvSpPr>
      <xdr:spPr>
        <a:xfrm>
          <a:off x="155575" y="3631292"/>
          <a:ext cx="1720850" cy="406400"/>
        </a:xfrm>
        <a:prstGeom prst="roundRect">
          <a:avLst>
            <a:gd name="adj" fmla="val 50000"/>
          </a:avLst>
        </a:prstGeom>
        <a:solidFill>
          <a:srgbClr val="2A62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155575</xdr:colOff>
      <xdr:row>19</xdr:row>
      <xdr:rowOff>76200</xdr:rowOff>
    </xdr:from>
    <xdr:to>
      <xdr:col>0</xdr:col>
      <xdr:colOff>1876425</xdr:colOff>
      <xdr:row>21</xdr:row>
      <xdr:rowOff>63500</xdr:rowOff>
    </xdr:to>
    <xdr:sp macro="" textlink="">
      <xdr:nvSpPr>
        <xdr:cNvPr id="9" name="Retângulo: Cantos Arredondado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60BF704-157F-40EB-832D-24B7CEDCCB75}"/>
            </a:ext>
          </a:extLst>
        </xdr:cNvPr>
        <xdr:cNvSpPr/>
      </xdr:nvSpPr>
      <xdr:spPr>
        <a:xfrm>
          <a:off x="155575" y="4146550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BENS</a:t>
          </a:r>
        </a:p>
      </xdr:txBody>
    </xdr:sp>
    <xdr:clientData/>
  </xdr:twoCellAnchor>
  <xdr:twoCellAnchor editAs="absolute">
    <xdr:from>
      <xdr:col>1</xdr:col>
      <xdr:colOff>501650</xdr:colOff>
      <xdr:row>27</xdr:row>
      <xdr:rowOff>50800</xdr:rowOff>
    </xdr:from>
    <xdr:to>
      <xdr:col>3</xdr:col>
      <xdr:colOff>736600</xdr:colOff>
      <xdr:row>28</xdr:row>
      <xdr:rowOff>76200</xdr:rowOff>
    </xdr:to>
    <xdr:grpSp>
      <xdr:nvGrpSpPr>
        <xdr:cNvPr id="10" name="Agrupar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3394872-4143-4278-A8CA-9CE021D54FD9}"/>
            </a:ext>
          </a:extLst>
        </xdr:cNvPr>
        <xdr:cNvGrpSpPr/>
      </xdr:nvGrpSpPr>
      <xdr:grpSpPr>
        <a:xfrm>
          <a:off x="2590800" y="5797550"/>
          <a:ext cx="2298700" cy="234950"/>
          <a:chOff x="2609850" y="5711825"/>
          <a:chExt cx="2298700" cy="234950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D02E7513-1C7F-E9DD-F787-FDE1F50ECC36}"/>
              </a:ext>
            </a:extLst>
          </xdr:cNvPr>
          <xdr:cNvSpPr/>
        </xdr:nvSpPr>
        <xdr:spPr>
          <a:xfrm>
            <a:off x="2698750" y="5762625"/>
            <a:ext cx="2298700" cy="234950"/>
          </a:xfrm>
          <a:prstGeom prst="roundRect">
            <a:avLst/>
          </a:prstGeom>
          <a:solidFill>
            <a:srgbClr val="16324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kern="1200">
                <a:latin typeface="Segoe UI Black" panose="020B0A02040204020203" pitchFamily="34" charset="0"/>
                <a:ea typeface="Segoe UI Black" panose="020B0A02040204020203" pitchFamily="34" charset="0"/>
              </a:rPr>
              <a:t>Anterior</a:t>
            </a:r>
          </a:p>
          <a:p>
            <a:pPr algn="ctr"/>
            <a:endParaRPr lang="pt-BR" sz="1100" b="0" kern="12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cxnSp macro="">
        <xdr:nvCxnSpPr>
          <xdr:cNvPr id="12" name="Conector de Seta Reta 11">
            <a:extLst>
              <a:ext uri="{FF2B5EF4-FFF2-40B4-BE49-F238E27FC236}">
                <a16:creationId xmlns:a16="http://schemas.microsoft.com/office/drawing/2014/main" id="{835D29DD-DF1C-2A77-120B-CC6C85CAE4C9}"/>
              </a:ext>
            </a:extLst>
          </xdr:cNvPr>
          <xdr:cNvCxnSpPr/>
        </xdr:nvCxnSpPr>
        <xdr:spPr>
          <a:xfrm flipH="1">
            <a:off x="2978150" y="5880100"/>
            <a:ext cx="488950" cy="0"/>
          </a:xfrm>
          <a:prstGeom prst="straightConnector1">
            <a:avLst/>
          </a:prstGeom>
          <a:ln w="28575"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3</xdr:col>
      <xdr:colOff>869950</xdr:colOff>
      <xdr:row>27</xdr:row>
      <xdr:rowOff>101600</xdr:rowOff>
    </xdr:from>
    <xdr:to>
      <xdr:col>5</xdr:col>
      <xdr:colOff>0</xdr:colOff>
      <xdr:row>28</xdr:row>
      <xdr:rowOff>127000</xdr:rowOff>
    </xdr:to>
    <xdr:grpSp>
      <xdr:nvGrpSpPr>
        <xdr:cNvPr id="13" name="Agrupar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08035C7-CFA2-4885-8FC2-8D5139FAFFF5}"/>
            </a:ext>
          </a:extLst>
        </xdr:cNvPr>
        <xdr:cNvGrpSpPr/>
      </xdr:nvGrpSpPr>
      <xdr:grpSpPr>
        <a:xfrm>
          <a:off x="5022850" y="5848350"/>
          <a:ext cx="2298700" cy="234950"/>
          <a:chOff x="2743200" y="4546600"/>
          <a:chExt cx="2298700" cy="234950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20EE4424-888D-4DC3-83DF-FCA9ED483DBF}"/>
              </a:ext>
            </a:extLst>
          </xdr:cNvPr>
          <xdr:cNvSpPr/>
        </xdr:nvSpPr>
        <xdr:spPr>
          <a:xfrm>
            <a:off x="2743200" y="4546600"/>
            <a:ext cx="2298700" cy="234950"/>
          </a:xfrm>
          <a:prstGeom prst="roundRect">
            <a:avLst/>
          </a:prstGeom>
          <a:solidFill>
            <a:srgbClr val="16324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kern="1200">
                <a:latin typeface="Segoe UI Black" panose="020B0A02040204020203" pitchFamily="34" charset="0"/>
                <a:ea typeface="Segoe UI Black" panose="020B0A02040204020203" pitchFamily="34" charset="0"/>
              </a:rPr>
              <a:t>Próximo</a:t>
            </a:r>
          </a:p>
          <a:p>
            <a:pPr algn="ctr"/>
            <a:endParaRPr lang="pt-BR" sz="1100" b="0" kern="12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cxnSp macro="">
        <xdr:nvCxnSpPr>
          <xdr:cNvPr id="15" name="Conector de Seta Reta 14">
            <a:extLst>
              <a:ext uri="{FF2B5EF4-FFF2-40B4-BE49-F238E27FC236}">
                <a16:creationId xmlns:a16="http://schemas.microsoft.com/office/drawing/2014/main" id="{9349552C-F6EC-5331-6E45-5203F95F0C04}"/>
              </a:ext>
            </a:extLst>
          </xdr:cNvPr>
          <xdr:cNvCxnSpPr/>
        </xdr:nvCxnSpPr>
        <xdr:spPr>
          <a:xfrm>
            <a:off x="4286250" y="4660900"/>
            <a:ext cx="508000" cy="6350"/>
          </a:xfrm>
          <a:prstGeom prst="straightConnector1">
            <a:avLst/>
          </a:prstGeom>
          <a:ln w="28575"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69850</xdr:colOff>
      <xdr:row>0</xdr:row>
      <xdr:rowOff>152400</xdr:rowOff>
    </xdr:from>
    <xdr:to>
      <xdr:col>0</xdr:col>
      <xdr:colOff>1962150</xdr:colOff>
      <xdr:row>2</xdr:row>
      <xdr:rowOff>114300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1A2EDDE-081F-4A94-8A21-A1876085EE4C}"/>
            </a:ext>
          </a:extLst>
        </xdr:cNvPr>
        <xdr:cNvSpPr/>
      </xdr:nvSpPr>
      <xdr:spPr>
        <a:xfrm>
          <a:off x="69850" y="152400"/>
          <a:ext cx="18923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kern="1200" baseline="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 </a:t>
          </a:r>
          <a:r>
            <a:rPr lang="pt-BR" sz="2400" b="1" kern="12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IRPF 2026</a:t>
          </a:r>
        </a:p>
      </xdr:txBody>
    </xdr:sp>
    <xdr:clientData/>
  </xdr:twoCellAnchor>
  <xdr:twoCellAnchor editAs="absolute">
    <xdr:from>
      <xdr:col>0</xdr:col>
      <xdr:colOff>606425</xdr:colOff>
      <xdr:row>2</xdr:row>
      <xdr:rowOff>223157</xdr:rowOff>
    </xdr:from>
    <xdr:to>
      <xdr:col>0</xdr:col>
      <xdr:colOff>1425575</xdr:colOff>
      <xdr:row>6</xdr:row>
      <xdr:rowOff>115207</xdr:rowOff>
    </xdr:to>
    <xdr:pic>
      <xdr:nvPicPr>
        <xdr:cNvPr id="3" name="Gráfico 2" descr="Filantropia com preenchimento sólido">
          <a:extLst>
            <a:ext uri="{FF2B5EF4-FFF2-40B4-BE49-F238E27FC236}">
              <a16:creationId xmlns:a16="http://schemas.microsoft.com/office/drawing/2014/main" id="{9BE593CB-16DD-465E-92E6-6F309D439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6425" y="642257"/>
          <a:ext cx="819150" cy="819150"/>
        </a:xfrm>
        <a:prstGeom prst="rect">
          <a:avLst/>
        </a:prstGeom>
      </xdr:spPr>
    </xdr:pic>
    <xdr:clientData/>
  </xdr:twoCellAnchor>
  <xdr:twoCellAnchor editAs="absolute">
    <xdr:from>
      <xdr:col>0</xdr:col>
      <xdr:colOff>155575</xdr:colOff>
      <xdr:row>7</xdr:row>
      <xdr:rowOff>20864</xdr:rowOff>
    </xdr:from>
    <xdr:to>
      <xdr:col>0</xdr:col>
      <xdr:colOff>1876425</xdr:colOff>
      <xdr:row>9</xdr:row>
      <xdr:rowOff>8164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6E41A6-A04D-4F82-B2C9-D77352FF9738}"/>
            </a:ext>
          </a:extLst>
        </xdr:cNvPr>
        <xdr:cNvSpPr/>
      </xdr:nvSpPr>
      <xdr:spPr>
        <a:xfrm>
          <a:off x="155575" y="1576614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TITULAR</a:t>
          </a:r>
        </a:p>
      </xdr:txBody>
    </xdr:sp>
    <xdr:clientData/>
  </xdr:twoCellAnchor>
  <xdr:twoCellAnchor editAs="absolute">
    <xdr:from>
      <xdr:col>0</xdr:col>
      <xdr:colOff>155575</xdr:colOff>
      <xdr:row>9</xdr:row>
      <xdr:rowOff>110671</xdr:rowOff>
    </xdr:from>
    <xdr:to>
      <xdr:col>0</xdr:col>
      <xdr:colOff>1876425</xdr:colOff>
      <xdr:row>11</xdr:row>
      <xdr:rowOff>97971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FEAC24-B99A-49AB-9AE4-C35A8BFC6051}"/>
            </a:ext>
          </a:extLst>
        </xdr:cNvPr>
        <xdr:cNvSpPr/>
      </xdr:nvSpPr>
      <xdr:spPr>
        <a:xfrm>
          <a:off x="155575" y="2085521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kern="1200">
              <a:latin typeface="Segoe UI Black" panose="020B0A02040204020203" pitchFamily="34" charset="0"/>
              <a:ea typeface="Segoe UI Black" panose="020B0A02040204020203" pitchFamily="34" charset="0"/>
            </a:rPr>
            <a:t>DEPENDENTES</a:t>
          </a:r>
        </a:p>
      </xdr:txBody>
    </xdr:sp>
    <xdr:clientData/>
  </xdr:twoCellAnchor>
  <xdr:twoCellAnchor editAs="absolute">
    <xdr:from>
      <xdr:col>0</xdr:col>
      <xdr:colOff>155575</xdr:colOff>
      <xdr:row>11</xdr:row>
      <xdr:rowOff>206828</xdr:rowOff>
    </xdr:from>
    <xdr:to>
      <xdr:col>0</xdr:col>
      <xdr:colOff>1876425</xdr:colOff>
      <xdr:row>13</xdr:row>
      <xdr:rowOff>194128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43EF35-5E15-462F-B3D2-DE6F711ED4DC}"/>
            </a:ext>
          </a:extLst>
        </xdr:cNvPr>
        <xdr:cNvSpPr/>
      </xdr:nvSpPr>
      <xdr:spPr>
        <a:xfrm>
          <a:off x="155575" y="2600778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RENDIMENTOS</a:t>
          </a:r>
        </a:p>
      </xdr:txBody>
    </xdr:sp>
    <xdr:clientData/>
  </xdr:twoCellAnchor>
  <xdr:twoCellAnchor editAs="absolute">
    <xdr:from>
      <xdr:col>0</xdr:col>
      <xdr:colOff>155575</xdr:colOff>
      <xdr:row>14</xdr:row>
      <xdr:rowOff>93435</xdr:rowOff>
    </xdr:from>
    <xdr:to>
      <xdr:col>0</xdr:col>
      <xdr:colOff>1876425</xdr:colOff>
      <xdr:row>16</xdr:row>
      <xdr:rowOff>80735</xdr:rowOff>
    </xdr:to>
    <xdr:sp macro="" textlink="">
      <xdr:nvSpPr>
        <xdr:cNvPr id="7" name="Retângulo: Canto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BCF13EC-626E-4956-B5B9-E31AAE47B5BC}"/>
            </a:ext>
          </a:extLst>
        </xdr:cNvPr>
        <xdr:cNvSpPr/>
      </xdr:nvSpPr>
      <xdr:spPr>
        <a:xfrm>
          <a:off x="155575" y="3116035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DESPESAS</a:t>
          </a:r>
        </a:p>
      </xdr:txBody>
    </xdr:sp>
    <xdr:clientData/>
  </xdr:twoCellAnchor>
  <xdr:twoCellAnchor editAs="absolute">
    <xdr:from>
      <xdr:col>0</xdr:col>
      <xdr:colOff>155575</xdr:colOff>
      <xdr:row>16</xdr:row>
      <xdr:rowOff>189592</xdr:rowOff>
    </xdr:from>
    <xdr:to>
      <xdr:col>0</xdr:col>
      <xdr:colOff>1876425</xdr:colOff>
      <xdr:row>18</xdr:row>
      <xdr:rowOff>176892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03EE719-12F1-4710-BBBD-D7821DFA93EE}"/>
            </a:ext>
          </a:extLst>
        </xdr:cNvPr>
        <xdr:cNvSpPr/>
      </xdr:nvSpPr>
      <xdr:spPr>
        <a:xfrm>
          <a:off x="155575" y="3631292"/>
          <a:ext cx="1720850" cy="406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155575</xdr:colOff>
      <xdr:row>19</xdr:row>
      <xdr:rowOff>76200</xdr:rowOff>
    </xdr:from>
    <xdr:to>
      <xdr:col>0</xdr:col>
      <xdr:colOff>1876425</xdr:colOff>
      <xdr:row>21</xdr:row>
      <xdr:rowOff>63500</xdr:rowOff>
    </xdr:to>
    <xdr:sp macro="" textlink="">
      <xdr:nvSpPr>
        <xdr:cNvPr id="9" name="Retângulo: Cantos Arredondado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11DB831-8413-4F94-A5F7-CF2C3AE10A5F}"/>
            </a:ext>
          </a:extLst>
        </xdr:cNvPr>
        <xdr:cNvSpPr/>
      </xdr:nvSpPr>
      <xdr:spPr>
        <a:xfrm>
          <a:off x="155575" y="4146550"/>
          <a:ext cx="1720850" cy="406400"/>
        </a:xfrm>
        <a:prstGeom prst="roundRect">
          <a:avLst>
            <a:gd name="adj" fmla="val 50000"/>
          </a:avLst>
        </a:prstGeom>
        <a:solidFill>
          <a:srgbClr val="2A62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kern="1200">
              <a:solidFill>
                <a:schemeClr val="lt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BENS</a:t>
          </a:r>
        </a:p>
      </xdr:txBody>
    </xdr:sp>
    <xdr:clientData/>
  </xdr:twoCellAnchor>
  <xdr:twoCellAnchor editAs="absolute">
    <xdr:from>
      <xdr:col>1</xdr:col>
      <xdr:colOff>508000</xdr:colOff>
      <xdr:row>27</xdr:row>
      <xdr:rowOff>50800</xdr:rowOff>
    </xdr:from>
    <xdr:to>
      <xdr:col>3</xdr:col>
      <xdr:colOff>914400</xdr:colOff>
      <xdr:row>28</xdr:row>
      <xdr:rowOff>76200</xdr:rowOff>
    </xdr:to>
    <xdr:grpSp>
      <xdr:nvGrpSpPr>
        <xdr:cNvPr id="10" name="Agrupar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6CFE99C-D77E-48A1-931C-182D0939FBC7}"/>
            </a:ext>
          </a:extLst>
        </xdr:cNvPr>
        <xdr:cNvGrpSpPr/>
      </xdr:nvGrpSpPr>
      <xdr:grpSpPr>
        <a:xfrm>
          <a:off x="2597150" y="5797550"/>
          <a:ext cx="2298700" cy="234950"/>
          <a:chOff x="2609850" y="5711825"/>
          <a:chExt cx="2298700" cy="234950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5A5F69FD-3E5D-6FB8-A2F5-19B9C024A6AF}"/>
              </a:ext>
            </a:extLst>
          </xdr:cNvPr>
          <xdr:cNvSpPr/>
        </xdr:nvSpPr>
        <xdr:spPr>
          <a:xfrm>
            <a:off x="2698750" y="5762625"/>
            <a:ext cx="2298700" cy="234950"/>
          </a:xfrm>
          <a:prstGeom prst="roundRect">
            <a:avLst/>
          </a:prstGeom>
          <a:solidFill>
            <a:srgbClr val="16324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0" kern="1200">
                <a:latin typeface="Segoe UI Black" panose="020B0A02040204020203" pitchFamily="34" charset="0"/>
                <a:ea typeface="Segoe UI Black" panose="020B0A02040204020203" pitchFamily="34" charset="0"/>
              </a:rPr>
              <a:t>Anterior</a:t>
            </a:r>
          </a:p>
          <a:p>
            <a:pPr algn="ctr"/>
            <a:endParaRPr lang="pt-BR" sz="1100" b="0" kern="12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cxnSp macro="">
        <xdr:nvCxnSpPr>
          <xdr:cNvPr id="12" name="Conector de Seta Reta 11">
            <a:extLst>
              <a:ext uri="{FF2B5EF4-FFF2-40B4-BE49-F238E27FC236}">
                <a16:creationId xmlns:a16="http://schemas.microsoft.com/office/drawing/2014/main" id="{82391872-4686-027A-9CC5-E08DEEAF631B}"/>
              </a:ext>
            </a:extLst>
          </xdr:cNvPr>
          <xdr:cNvCxnSpPr/>
        </xdr:nvCxnSpPr>
        <xdr:spPr>
          <a:xfrm flipH="1">
            <a:off x="2978150" y="5880100"/>
            <a:ext cx="488950" cy="0"/>
          </a:xfrm>
          <a:prstGeom prst="straightConnector1">
            <a:avLst/>
          </a:prstGeom>
          <a:ln w="28575">
            <a:solidFill>
              <a:schemeClr val="bg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FDDFA0-B41A-4437-B16C-D62D3B11AFC6}" name="dependentes" displayName="dependentes" ref="C6:G26" totalsRowShown="0" headerRowDxfId="95" dataDxfId="94">
  <autoFilter ref="C6:G26" xr:uid="{AFFDDFA0-B41A-4437-B16C-D62D3B11AFC6}"/>
  <tableColumns count="5">
    <tableColumn id="1" xr3:uid="{650DF12B-FAFF-4DBD-99E7-5C7CD5F3B38D}" name="Tipo do Dependente" dataDxfId="93"/>
    <tableColumn id="2" xr3:uid="{5BEDD5AD-7AE1-480F-A6F8-8EE6B2DCFBB7}" name="CPF" dataDxfId="92"/>
    <tableColumn id="3" xr3:uid="{66B9A283-B836-414D-BFAB-C11D17AB8B49}" name="Nome" dataDxfId="91"/>
    <tableColumn id="4" xr3:uid="{1E8757AC-08C5-4718-9F1A-CAAD4E407CFA}" name="Data de Nascimento" dataDxfId="90"/>
    <tableColumn id="5" xr3:uid="{289F9511-1B75-4E9A-9166-09073338AA13}" name="Raça/Cor" dataDxfId="89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654BEE-7CAA-4D80-B16D-82AFE6D113C0}" name="rendimentos_tributaveis" displayName="rendimentos_tributaveis" ref="C6:K27" totalsRowCount="1" headerRowDxfId="88" dataDxfId="87" totalsRowDxfId="86">
  <autoFilter ref="C6:K26" xr:uid="{0D654BEE-7CAA-4D80-B16D-82AFE6D113C0}"/>
  <tableColumns count="9">
    <tableColumn id="9" xr3:uid="{6C5E5228-092C-45E2-87E6-23610FAE464A}" name="Rendimento Recebido Por" totalsRowLabel="Total" dataDxfId="85" totalsRowDxfId="84"/>
    <tableColumn id="10" xr3:uid="{01452AA8-4224-491C-98A3-3E1C176F5114}" name="Nome do Dependente" dataDxfId="83" totalsRowDxfId="82"/>
    <tableColumn id="1" xr3:uid="{C511574F-514E-423D-AB62-C87138960524}" name="Nome da Fonte Pagadora" dataDxfId="81" totalsRowDxfId="80"/>
    <tableColumn id="2" xr3:uid="{07082CE7-95DD-4ECD-BCA6-D82430D85595}" name="CNPJ" dataDxfId="79" totalsRowDxfId="78"/>
    <tableColumn id="3" xr3:uid="{400492D7-258C-4CC5-BF18-5960256100D3}" name="Rendimentos" totalsRowFunction="sum" dataDxfId="77" totalsRowDxfId="76"/>
    <tableColumn id="4" xr3:uid="{C3B737BD-3611-4125-BDB1-61B3F975A183}" name="Contribuição Previdenciária" totalsRowFunction="sum" dataDxfId="75" totalsRowDxfId="74">
      <calculatedColumnFormula>rendimentos_tributaveis[[#This Row],[Rendimentos]]*9%</calculatedColumnFormula>
    </tableColumn>
    <tableColumn id="5" xr3:uid="{1B790C23-BF40-46B2-BC14-DBA04EE390CF}" name="IRRF" totalsRowFunction="sum" dataDxfId="73" totalsRowDxfId="72">
      <calculatedColumnFormula>rendimentos_tributaveis[[#This Row],[Rendimentos]]*27.5%</calculatedColumnFormula>
    </tableColumn>
    <tableColumn id="6" xr3:uid="{F5612834-D852-4E60-9C97-B747E402D516}" name="13º Salário" totalsRowFunction="sum" dataDxfId="71" totalsRowDxfId="70">
      <calculatedColumnFormula>rendimentos_tributaveis[[#This Row],[Rendimentos]]/12</calculatedColumnFormula>
    </tableColumn>
    <tableColumn id="7" xr3:uid="{632E3DF1-42DB-40F6-9F98-27A9A65F62AA}" name="IRRF Sobre 13º" totalsRowFunction="sum" dataDxfId="69" totalsRowDxfId="68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F685F1-D2D7-424D-8CBF-C735ABFEB4BE}" name="despesas" displayName="despesas" ref="C6:J27" totalsRowCount="1" headerRowDxfId="67" dataDxfId="66" totalsRowDxfId="65">
  <autoFilter ref="C6:J26" xr:uid="{73F685F1-D2D7-424D-8CBF-C735ABFEB4BE}"/>
  <tableColumns count="8">
    <tableColumn id="1" xr3:uid="{4E73872D-CA7B-40B2-B79C-9BFA24D2F746}" name="Despesa Realizada Com" totalsRowLabel="Total" dataDxfId="64" totalsRowDxfId="63"/>
    <tableColumn id="8" xr3:uid="{7BA0492B-EBC4-4A10-A934-05D16B16F26C}" name="Nome do Dependente" dataDxfId="62" totalsRowDxfId="61"/>
    <tableColumn id="10" xr3:uid="{E4EF3BA9-FBE8-4252-B990-A7A102D2DC0D}" name="Tipo de Serviço" dataDxfId="60" totalsRowDxfId="59"/>
    <tableColumn id="2" xr3:uid="{09DE4FFF-225A-46F1-8F0D-25C6EEAEB644}" name="CNPJ do Prestador" dataDxfId="58" totalsRowDxfId="57"/>
    <tableColumn id="9" xr3:uid="{CB857689-E923-4F72-B597-BCC71816C8F6}" name="CPF do Prestador" dataDxfId="56" totalsRowDxfId="55"/>
    <tableColumn id="3" xr3:uid="{9E6190A5-E5F7-4929-993E-5B508AC126D4}" name="Nome do Prestador" dataDxfId="54" totalsRowDxfId="53"/>
    <tableColumn id="4" xr3:uid="{EE9CA831-A30B-4F9B-B384-406659234541}" name="Valor Gasto" totalsRowFunction="sum" dataDxfId="52" totalsRowDxfId="51">
      <calculatedColumnFormula>despesas[[#This Row],[Nome do Prestador]]*9%</calculatedColumnFormula>
    </tableColumn>
    <tableColumn id="5" xr3:uid="{4E5FD22C-CFBD-411A-9531-104C35CD9183}" name="Descrição do Serviço" dataDxfId="50" totalsRowDxfId="49">
      <calculatedColumnFormula>despesas[[#This Row],[Nome do Prestador]]*27.5%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AA91A9-702C-48F6-8B51-5AD94B2D0661}" name="informe_bancario" displayName="informe_bancario" ref="C6:L27" totalsRowCount="1" headerRowDxfId="48" dataDxfId="47" totalsRowDxfId="46">
  <autoFilter ref="C6:L26" xr:uid="{7FAA91A9-702C-48F6-8B51-5AD94B2D0661}"/>
  <tableColumns count="10">
    <tableColumn id="13" xr3:uid="{E75E6660-AE6A-4C9F-9463-E690827DCC6E}" name="Titular da Conta" totalsRowLabel="Total" dataDxfId="45" totalsRowDxfId="44"/>
    <tableColumn id="12" xr3:uid="{F89FDC7A-82D6-4BB2-A371-B14763D4C675}" name="Nome do Dependente" dataDxfId="43" totalsRowDxfId="42"/>
    <tableColumn id="1" xr3:uid="{732B95C8-AFD4-46DA-9FF6-51794F424E3D}" name="Tipo da Conta" dataDxfId="41" totalsRowDxfId="40"/>
    <tableColumn id="8" xr3:uid="{DAA832DF-A9CF-4ED5-AB61-BDD900DCEEDA}" name="Banco" dataDxfId="39" totalsRowDxfId="38"/>
    <tableColumn id="10" xr3:uid="{BD2072F0-588F-4A28-ACCF-6C2C70B1263D}" name="CNPJ Banco" dataDxfId="37" totalsRowDxfId="36"/>
    <tableColumn id="2" xr3:uid="{13E1701A-9D08-4E30-95C1-36804D9EB409}" name="Agência" dataDxfId="35" totalsRowDxfId="34"/>
    <tableColumn id="9" xr3:uid="{AFC71D84-830C-43A9-BC73-2517B06C2154}" name="Conta" dataDxfId="33" totalsRowDxfId="32"/>
    <tableColumn id="3" xr3:uid="{F89BBA58-95BE-417C-A842-1F0FAA4F6652}" name="DV" dataDxfId="31" totalsRowDxfId="30"/>
    <tableColumn id="4" xr3:uid="{2AF15D65-8852-4BF0-8B19-48E7F5E0CBF5}" name="Saldo da Conta" totalsRowFunction="sum" dataDxfId="29" totalsRowDxfId="28"/>
    <tableColumn id="5" xr3:uid="{322DF6A7-7031-4812-9019-2EB0054BA867}" name="Rendimentos" totalsRowFunction="sum" dataDxfId="27" totalsRowDxfId="26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FE768D-BE7A-496A-B982-FCA5266B9612}" name="bens" displayName="bens" ref="C6:I27" totalsRowCount="1" headerRowDxfId="25" dataDxfId="24" totalsRowDxfId="23">
  <autoFilter ref="C6:I26" xr:uid="{B9FE768D-BE7A-496A-B982-FCA5266B9612}"/>
  <tableColumns count="7">
    <tableColumn id="13" xr3:uid="{BCF82D96-729C-436B-A101-7D84DF11ECBA}" name="Dono do Bem" totalsRowLabel="Total" dataDxfId="22" totalsRowDxfId="21"/>
    <tableColumn id="12" xr3:uid="{0B3B3571-3D94-4D77-9408-9ECEC54AE33D}" name="Nome do Dependente" dataDxfId="20" totalsRowDxfId="19"/>
    <tableColumn id="1" xr3:uid="{8B307AF0-8C79-4E11-ADD2-A11A4035DE4E}" name="Tipo do Bem" dataDxfId="18" totalsRowDxfId="17"/>
    <tableColumn id="8" xr3:uid="{4B414D67-9F47-4898-88C0-E49975D5B0CF}" name="Incrição Municipal" dataDxfId="16" totalsRowDxfId="15"/>
    <tableColumn id="10" xr3:uid="{904C8A21-2193-40DB-9B2E-4F5DF2B88F47}" name="RENAVAM" dataDxfId="14" totalsRowDxfId="13"/>
    <tableColumn id="2" xr3:uid="{36153B5B-F6B9-49B2-BEB8-9BB53D1A4778}" name="Descrição do Bem" dataDxfId="12" totalsRowDxfId="11"/>
    <tableColumn id="9" xr3:uid="{0056B7D9-6D49-40F2-8290-3557C9B8F0B7}" name="Valor do Bem" totalsRowFunction="sum" dataDxfId="10" totalsRowDxfId="9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18E9E-5106-44CD-893F-CCC568B1AE3D}">
  <dimension ref="A1:M51"/>
  <sheetViews>
    <sheetView showGridLines="0" workbookViewId="0">
      <selection activeCell="M6" sqref="M6"/>
    </sheetView>
  </sheetViews>
  <sheetFormatPr defaultRowHeight="14.5" x14ac:dyDescent="0.35"/>
  <cols>
    <col min="1" max="1" width="8.36328125" style="12" bestFit="1" customWidth="1"/>
    <col min="2" max="2" width="1.1796875" style="12" customWidth="1"/>
    <col min="3" max="3" width="8.7265625" style="12" customWidth="1"/>
    <col min="4" max="4" width="1.1796875" style="12" customWidth="1"/>
    <col min="5" max="5" width="19.1796875" style="12" bestFit="1" customWidth="1"/>
    <col min="6" max="6" width="1.1796875" style="12" customWidth="1"/>
    <col min="7" max="7" width="26.81640625" style="12" bestFit="1" customWidth="1"/>
    <col min="8" max="8" width="1.1796875" style="12" customWidth="1"/>
    <col min="9" max="9" width="12.1796875" style="12" bestFit="1" customWidth="1"/>
    <col min="10" max="10" width="1.1796875" style="12" customWidth="1"/>
    <col min="11" max="11" width="34.81640625" bestFit="1" customWidth="1"/>
    <col min="12" max="12" width="1.1796875" style="12" customWidth="1"/>
    <col min="13" max="13" width="11.36328125" style="12" bestFit="1" customWidth="1"/>
    <col min="14" max="16384" width="8.7265625" style="12"/>
  </cols>
  <sheetData>
    <row r="1" spans="1:13" x14ac:dyDescent="0.35">
      <c r="A1" s="11" t="s">
        <v>16</v>
      </c>
      <c r="C1" s="11" t="s">
        <v>24</v>
      </c>
      <c r="E1" s="11" t="s">
        <v>58</v>
      </c>
      <c r="G1" s="11" t="s">
        <v>83</v>
      </c>
      <c r="I1" s="11" t="s">
        <v>111</v>
      </c>
      <c r="K1" s="11" t="s">
        <v>148</v>
      </c>
      <c r="M1" s="11" t="s">
        <v>180</v>
      </c>
    </row>
    <row r="2" spans="1:13" x14ac:dyDescent="0.35">
      <c r="A2" s="12" t="s">
        <v>17</v>
      </c>
      <c r="C2" s="12" t="s">
        <v>25</v>
      </c>
      <c r="E2" s="12" t="s">
        <v>59</v>
      </c>
      <c r="G2" s="12" t="s">
        <v>84</v>
      </c>
      <c r="I2" s="12" t="s">
        <v>112</v>
      </c>
      <c r="K2" t="s">
        <v>149</v>
      </c>
      <c r="M2" s="12" t="s">
        <v>182</v>
      </c>
    </row>
    <row r="3" spans="1:13" x14ac:dyDescent="0.35">
      <c r="A3" s="12" t="s">
        <v>18</v>
      </c>
      <c r="C3" s="12" t="s">
        <v>26</v>
      </c>
      <c r="E3" s="12" t="s">
        <v>60</v>
      </c>
      <c r="G3" s="12" t="s">
        <v>85</v>
      </c>
      <c r="I3" s="12" t="s">
        <v>113</v>
      </c>
      <c r="K3" t="s">
        <v>152</v>
      </c>
      <c r="M3" s="12" t="s">
        <v>183</v>
      </c>
    </row>
    <row r="4" spans="1:13" x14ac:dyDescent="0.35">
      <c r="A4" s="12" t="s">
        <v>19</v>
      </c>
      <c r="C4" s="12" t="s">
        <v>27</v>
      </c>
      <c r="E4" s="12" t="s">
        <v>61</v>
      </c>
      <c r="G4" s="12" t="s">
        <v>86</v>
      </c>
      <c r="I4" s="12" t="s">
        <v>114</v>
      </c>
      <c r="K4" t="s">
        <v>154</v>
      </c>
      <c r="M4" s="12" t="s">
        <v>184</v>
      </c>
    </row>
    <row r="5" spans="1:13" x14ac:dyDescent="0.35">
      <c r="A5" s="12" t="s">
        <v>20</v>
      </c>
      <c r="C5" s="12" t="s">
        <v>28</v>
      </c>
      <c r="E5" s="12" t="s">
        <v>62</v>
      </c>
      <c r="G5" s="12" t="s">
        <v>87</v>
      </c>
      <c r="K5" t="s">
        <v>150</v>
      </c>
      <c r="M5" s="12" t="s">
        <v>67</v>
      </c>
    </row>
    <row r="6" spans="1:13" x14ac:dyDescent="0.35">
      <c r="A6" s="12" t="s">
        <v>21</v>
      </c>
      <c r="C6" s="12" t="s">
        <v>29</v>
      </c>
      <c r="E6" s="12" t="s">
        <v>63</v>
      </c>
      <c r="G6" s="12" t="s">
        <v>88</v>
      </c>
      <c r="K6" t="s">
        <v>151</v>
      </c>
    </row>
    <row r="7" spans="1:13" x14ac:dyDescent="0.35">
      <c r="C7" s="12" t="s">
        <v>30</v>
      </c>
      <c r="E7" s="12" t="s">
        <v>64</v>
      </c>
      <c r="G7" s="12" t="s">
        <v>89</v>
      </c>
      <c r="K7" t="s">
        <v>153</v>
      </c>
    </row>
    <row r="8" spans="1:13" x14ac:dyDescent="0.35">
      <c r="C8" s="12" t="s">
        <v>31</v>
      </c>
      <c r="E8" s="12" t="s">
        <v>65</v>
      </c>
      <c r="G8" s="12" t="s">
        <v>90</v>
      </c>
      <c r="K8" t="s">
        <v>167</v>
      </c>
    </row>
    <row r="9" spans="1:13" x14ac:dyDescent="0.35">
      <c r="C9" s="12" t="s">
        <v>32</v>
      </c>
      <c r="E9" s="12" t="s">
        <v>66</v>
      </c>
      <c r="G9" s="12" t="s">
        <v>91</v>
      </c>
      <c r="K9" t="s">
        <v>155</v>
      </c>
    </row>
    <row r="10" spans="1:13" x14ac:dyDescent="0.35">
      <c r="C10" s="12" t="s">
        <v>33</v>
      </c>
      <c r="E10" s="12" t="s">
        <v>67</v>
      </c>
      <c r="G10" s="12" t="s">
        <v>67</v>
      </c>
      <c r="K10" t="s">
        <v>156</v>
      </c>
    </row>
    <row r="11" spans="1:13" x14ac:dyDescent="0.35">
      <c r="C11" s="12" t="s">
        <v>34</v>
      </c>
      <c r="K11" t="s">
        <v>157</v>
      </c>
    </row>
    <row r="12" spans="1:13" x14ac:dyDescent="0.35">
      <c r="C12" s="12" t="s">
        <v>35</v>
      </c>
      <c r="K12" t="s">
        <v>158</v>
      </c>
    </row>
    <row r="13" spans="1:13" x14ac:dyDescent="0.35">
      <c r="C13" s="12" t="s">
        <v>36</v>
      </c>
      <c r="K13" t="s">
        <v>159</v>
      </c>
    </row>
    <row r="14" spans="1:13" x14ac:dyDescent="0.35">
      <c r="C14" s="12" t="s">
        <v>37</v>
      </c>
      <c r="K14" t="s">
        <v>160</v>
      </c>
    </row>
    <row r="15" spans="1:13" x14ac:dyDescent="0.35">
      <c r="C15" s="12" t="s">
        <v>38</v>
      </c>
      <c r="K15" t="s">
        <v>161</v>
      </c>
    </row>
    <row r="16" spans="1:13" x14ac:dyDescent="0.35">
      <c r="C16" s="12" t="s">
        <v>39</v>
      </c>
      <c r="K16" t="s">
        <v>162</v>
      </c>
    </row>
    <row r="17" spans="3:11" x14ac:dyDescent="0.35">
      <c r="C17" s="12" t="s">
        <v>40</v>
      </c>
      <c r="K17" t="s">
        <v>163</v>
      </c>
    </row>
    <row r="18" spans="3:11" x14ac:dyDescent="0.35">
      <c r="C18" s="12" t="s">
        <v>41</v>
      </c>
      <c r="K18" t="s">
        <v>164</v>
      </c>
    </row>
    <row r="19" spans="3:11" x14ac:dyDescent="0.35">
      <c r="C19" s="12" t="s">
        <v>42</v>
      </c>
      <c r="K19" t="s">
        <v>115</v>
      </c>
    </row>
    <row r="20" spans="3:11" x14ac:dyDescent="0.35">
      <c r="C20" s="12" t="s">
        <v>43</v>
      </c>
      <c r="K20" t="s">
        <v>116</v>
      </c>
    </row>
    <row r="21" spans="3:11" x14ac:dyDescent="0.35">
      <c r="C21" s="12" t="s">
        <v>44</v>
      </c>
      <c r="K21" t="s">
        <v>117</v>
      </c>
    </row>
    <row r="22" spans="3:11" x14ac:dyDescent="0.35">
      <c r="C22" s="12" t="s">
        <v>45</v>
      </c>
      <c r="K22" t="s">
        <v>118</v>
      </c>
    </row>
    <row r="23" spans="3:11" x14ac:dyDescent="0.35">
      <c r="C23" s="12" t="s">
        <v>46</v>
      </c>
      <c r="K23" t="s">
        <v>119</v>
      </c>
    </row>
    <row r="24" spans="3:11" x14ac:dyDescent="0.35">
      <c r="C24" s="12" t="s">
        <v>47</v>
      </c>
      <c r="K24" t="s">
        <v>120</v>
      </c>
    </row>
    <row r="25" spans="3:11" x14ac:dyDescent="0.35">
      <c r="C25" s="12" t="s">
        <v>49</v>
      </c>
      <c r="K25" t="s">
        <v>121</v>
      </c>
    </row>
    <row r="26" spans="3:11" x14ac:dyDescent="0.35">
      <c r="C26" s="12" t="s">
        <v>50</v>
      </c>
      <c r="K26" t="s">
        <v>122</v>
      </c>
    </row>
    <row r="27" spans="3:11" x14ac:dyDescent="0.35">
      <c r="C27" s="12" t="s">
        <v>51</v>
      </c>
      <c r="K27" t="s">
        <v>123</v>
      </c>
    </row>
    <row r="28" spans="3:11" x14ac:dyDescent="0.35">
      <c r="K28" t="s">
        <v>124</v>
      </c>
    </row>
    <row r="29" spans="3:11" x14ac:dyDescent="0.35">
      <c r="K29" t="s">
        <v>125</v>
      </c>
    </row>
    <row r="30" spans="3:11" x14ac:dyDescent="0.35">
      <c r="K30" t="s">
        <v>126</v>
      </c>
    </row>
    <row r="31" spans="3:11" x14ac:dyDescent="0.35">
      <c r="K31" t="s">
        <v>127</v>
      </c>
    </row>
    <row r="32" spans="3:11" x14ac:dyDescent="0.35">
      <c r="K32" t="s">
        <v>128</v>
      </c>
    </row>
    <row r="33" spans="11:11" x14ac:dyDescent="0.35">
      <c r="K33" t="s">
        <v>129</v>
      </c>
    </row>
    <row r="34" spans="11:11" x14ac:dyDescent="0.35">
      <c r="K34" t="s">
        <v>130</v>
      </c>
    </row>
    <row r="35" spans="11:11" x14ac:dyDescent="0.35">
      <c r="K35" t="s">
        <v>131</v>
      </c>
    </row>
    <row r="36" spans="11:11" x14ac:dyDescent="0.35">
      <c r="K36" t="s">
        <v>132</v>
      </c>
    </row>
    <row r="37" spans="11:11" x14ac:dyDescent="0.35">
      <c r="K37" t="s">
        <v>133</v>
      </c>
    </row>
    <row r="38" spans="11:11" x14ac:dyDescent="0.35">
      <c r="K38" t="s">
        <v>134</v>
      </c>
    </row>
    <row r="39" spans="11:11" x14ac:dyDescent="0.35">
      <c r="K39" t="s">
        <v>135</v>
      </c>
    </row>
    <row r="40" spans="11:11" x14ac:dyDescent="0.35">
      <c r="K40" t="s">
        <v>136</v>
      </c>
    </row>
    <row r="41" spans="11:11" x14ac:dyDescent="0.35">
      <c r="K41" t="s">
        <v>137</v>
      </c>
    </row>
    <row r="42" spans="11:11" x14ac:dyDescent="0.35">
      <c r="K42" t="s">
        <v>138</v>
      </c>
    </row>
    <row r="43" spans="11:11" x14ac:dyDescent="0.35">
      <c r="K43" t="s">
        <v>139</v>
      </c>
    </row>
    <row r="44" spans="11:11" x14ac:dyDescent="0.35">
      <c r="K44" t="s">
        <v>140</v>
      </c>
    </row>
    <row r="45" spans="11:11" x14ac:dyDescent="0.35">
      <c r="K45" t="s">
        <v>141</v>
      </c>
    </row>
    <row r="46" spans="11:11" x14ac:dyDescent="0.35">
      <c r="K46" t="s">
        <v>142</v>
      </c>
    </row>
    <row r="47" spans="11:11" x14ac:dyDescent="0.35">
      <c r="K47" t="s">
        <v>143</v>
      </c>
    </row>
    <row r="48" spans="11:11" x14ac:dyDescent="0.35">
      <c r="K48" t="s">
        <v>144</v>
      </c>
    </row>
    <row r="49" spans="11:11" x14ac:dyDescent="0.35">
      <c r="K49" t="s">
        <v>145</v>
      </c>
    </row>
    <row r="50" spans="11:11" x14ac:dyDescent="0.35">
      <c r="K50" t="s">
        <v>146</v>
      </c>
    </row>
    <row r="51" spans="11:11" x14ac:dyDescent="0.35">
      <c r="K51" t="s">
        <v>147</v>
      </c>
    </row>
  </sheetData>
  <sortState xmlns:xlrd2="http://schemas.microsoft.com/office/spreadsheetml/2017/richdata2" ref="K2:K51">
    <sortCondition ref="K2:K5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DEC3-BADF-4C6D-B731-8C0D74753F31}">
  <dimension ref="A3:D20"/>
  <sheetViews>
    <sheetView showGridLines="0" showRowColHeaders="0" tabSelected="1" zoomScaleNormal="100" workbookViewId="0">
      <selection activeCell="D6" sqref="D6"/>
    </sheetView>
  </sheetViews>
  <sheetFormatPr defaultRowHeight="16.5" x14ac:dyDescent="0.45"/>
  <cols>
    <col min="1" max="1" width="29.90625" style="1" customWidth="1"/>
    <col min="2" max="2" width="8.7265625" style="2"/>
    <col min="3" max="3" width="46" style="2" bestFit="1" customWidth="1"/>
    <col min="4" max="4" width="43.6328125" style="2" customWidth="1"/>
    <col min="5" max="16384" width="8.7265625" style="2"/>
  </cols>
  <sheetData>
    <row r="3" spans="3:4" ht="23" thickBot="1" x14ac:dyDescent="0.65">
      <c r="C3" s="3" t="s">
        <v>0</v>
      </c>
      <c r="D3" s="3"/>
    </row>
    <row r="4" spans="3:4" ht="17" thickTop="1" x14ac:dyDescent="0.45">
      <c r="C4" s="4" t="s">
        <v>56</v>
      </c>
      <c r="D4" s="4"/>
    </row>
    <row r="6" spans="3:4" x14ac:dyDescent="0.45">
      <c r="C6" s="5" t="s">
        <v>1</v>
      </c>
      <c r="D6" s="23" t="s">
        <v>52</v>
      </c>
    </row>
    <row r="7" spans="3:4" x14ac:dyDescent="0.45">
      <c r="C7" s="6" t="s">
        <v>2</v>
      </c>
      <c r="D7" s="24">
        <v>12345678930</v>
      </c>
    </row>
    <row r="8" spans="3:4" x14ac:dyDescent="0.45">
      <c r="C8" s="7" t="s">
        <v>3</v>
      </c>
      <c r="D8" s="25">
        <v>36019</v>
      </c>
    </row>
    <row r="9" spans="3:4" x14ac:dyDescent="0.45">
      <c r="C9" s="8" t="s">
        <v>4</v>
      </c>
      <c r="D9" s="26" t="s">
        <v>18</v>
      </c>
    </row>
    <row r="10" spans="3:4" x14ac:dyDescent="0.45">
      <c r="C10" s="8" t="s">
        <v>5</v>
      </c>
      <c r="D10" s="26" t="s">
        <v>23</v>
      </c>
    </row>
    <row r="11" spans="3:4" x14ac:dyDescent="0.45">
      <c r="C11" s="8" t="s">
        <v>6</v>
      </c>
      <c r="D11" s="26" t="s">
        <v>22</v>
      </c>
    </row>
    <row r="12" spans="3:4" x14ac:dyDescent="0.45">
      <c r="C12" s="6" t="s">
        <v>7</v>
      </c>
      <c r="D12" s="24">
        <v>45978956231</v>
      </c>
    </row>
    <row r="13" spans="3:4" x14ac:dyDescent="0.45">
      <c r="C13" s="8" t="s">
        <v>8</v>
      </c>
      <c r="D13" s="26" t="s">
        <v>23</v>
      </c>
    </row>
    <row r="14" spans="3:4" x14ac:dyDescent="0.45">
      <c r="C14" s="9" t="s">
        <v>14</v>
      </c>
      <c r="D14" s="27">
        <v>13123450</v>
      </c>
    </row>
    <row r="15" spans="3:4" x14ac:dyDescent="0.45">
      <c r="C15" s="8" t="s">
        <v>9</v>
      </c>
      <c r="D15" s="26" t="s">
        <v>53</v>
      </c>
    </row>
    <row r="16" spans="3:4" x14ac:dyDescent="0.45">
      <c r="C16" s="8" t="s">
        <v>10</v>
      </c>
      <c r="D16" s="26">
        <v>123</v>
      </c>
    </row>
    <row r="17" spans="3:4" x14ac:dyDescent="0.45">
      <c r="C17" s="8" t="s">
        <v>11</v>
      </c>
      <c r="D17" s="26" t="s">
        <v>54</v>
      </c>
    </row>
    <row r="18" spans="3:4" x14ac:dyDescent="0.45">
      <c r="C18" s="8" t="s">
        <v>12</v>
      </c>
      <c r="D18" s="26" t="s">
        <v>48</v>
      </c>
    </row>
    <row r="19" spans="3:4" x14ac:dyDescent="0.45">
      <c r="C19" s="8" t="s">
        <v>13</v>
      </c>
      <c r="D19" s="26" t="s">
        <v>49</v>
      </c>
    </row>
    <row r="20" spans="3:4" x14ac:dyDescent="0.45">
      <c r="C20" s="10" t="s">
        <v>15</v>
      </c>
      <c r="D20" s="28" t="s">
        <v>55</v>
      </c>
    </row>
  </sheetData>
  <sheetProtection sheet="1" objects="1" scenarios="1" selectLockedCells="1"/>
  <conditionalFormatting sqref="D12">
    <cfRule type="expression" dxfId="8" priority="1">
      <formula>$D$11="Não"</formula>
    </cfRule>
  </conditionalFormatting>
  <dataValidations count="1">
    <dataValidation type="list" allowBlank="1" showInputMessage="1" showErrorMessage="1" errorTitle="Entrada Inválida" error="Preencha &quot;Sim&quot; ou &quot;Não&quot;_x000a_" sqref="D13 D10:D11" xr:uid="{0D539ABE-9A4F-4C49-AB6F-793169F00F1E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Raça/Cor Não Identificada" error="Preencha uma das opções da lista" xr:uid="{CD550614-C74C-46B8-BD29-D8851AA4C86D}">
          <x14:formula1>
            <xm:f>Tabelas!$A$2:$A$6</xm:f>
          </x14:formula1>
          <xm:sqref>D9</xm:sqref>
        </x14:dataValidation>
        <x14:dataValidation type="list" allowBlank="1" showInputMessage="1" showErrorMessage="1" errorTitle="Estado Inválido" error="Preencha com um dos estados da lista_x000a_" xr:uid="{A2148FFB-21F6-402B-9333-77A9716F2EB2}">
          <x14:formula1>
            <xm:f>Tabelas!$C$2:$C$27</xm:f>
          </x14:formula1>
          <xm:sqref>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5029-F2D8-4743-A0A7-397A6C333E17}">
  <dimension ref="A3:G26"/>
  <sheetViews>
    <sheetView showGridLines="0" showRowColHeaders="0" zoomScaleNormal="100" workbookViewId="0">
      <selection activeCell="C7" sqref="C7"/>
    </sheetView>
  </sheetViews>
  <sheetFormatPr defaultRowHeight="16.5" x14ac:dyDescent="0.45"/>
  <cols>
    <col min="1" max="1" width="29.90625" style="1" customWidth="1"/>
    <col min="2" max="2" width="8.7265625" style="2"/>
    <col min="3" max="7" width="25.26953125" style="2" customWidth="1"/>
    <col min="8" max="16384" width="8.7265625" style="2"/>
  </cols>
  <sheetData>
    <row r="3" spans="3:7" ht="23" thickBot="1" x14ac:dyDescent="0.65">
      <c r="C3" s="15" t="s">
        <v>68</v>
      </c>
      <c r="D3" s="15"/>
      <c r="E3" s="15"/>
      <c r="F3" s="15"/>
      <c r="G3" s="15"/>
    </row>
    <row r="4" spans="3:7" ht="17" thickTop="1" x14ac:dyDescent="0.45">
      <c r="C4" s="18" t="s">
        <v>57</v>
      </c>
      <c r="D4" s="18"/>
      <c r="E4" s="18"/>
      <c r="F4" s="18"/>
      <c r="G4" s="18"/>
    </row>
    <row r="6" spans="3:7" x14ac:dyDescent="0.45">
      <c r="C6" s="13" t="s">
        <v>69</v>
      </c>
      <c r="D6" s="13" t="s">
        <v>2</v>
      </c>
      <c r="E6" s="13" t="s">
        <v>72</v>
      </c>
      <c r="F6" s="13" t="s">
        <v>70</v>
      </c>
      <c r="G6" s="13" t="s">
        <v>71</v>
      </c>
    </row>
    <row r="7" spans="3:7" x14ac:dyDescent="0.45">
      <c r="C7" s="29" t="s">
        <v>59</v>
      </c>
      <c r="D7" s="30">
        <v>45978956231</v>
      </c>
      <c r="E7" s="29" t="s">
        <v>93</v>
      </c>
      <c r="F7" s="31">
        <v>35900</v>
      </c>
      <c r="G7" s="29" t="s">
        <v>18</v>
      </c>
    </row>
    <row r="8" spans="3:7" x14ac:dyDescent="0.45">
      <c r="C8" s="29" t="s">
        <v>60</v>
      </c>
      <c r="D8" s="30">
        <v>56978923140</v>
      </c>
      <c r="E8" s="29" t="s">
        <v>94</v>
      </c>
      <c r="F8" s="31">
        <v>44067</v>
      </c>
      <c r="G8" s="29" t="s">
        <v>18</v>
      </c>
    </row>
    <row r="9" spans="3:7" x14ac:dyDescent="0.45">
      <c r="C9" s="29" t="s">
        <v>64</v>
      </c>
      <c r="D9" s="30">
        <v>1278563022</v>
      </c>
      <c r="E9" s="29" t="s">
        <v>95</v>
      </c>
      <c r="F9" s="31">
        <v>25463</v>
      </c>
      <c r="G9" s="29" t="s">
        <v>18</v>
      </c>
    </row>
    <row r="10" spans="3:7" x14ac:dyDescent="0.45">
      <c r="C10" s="29"/>
      <c r="D10" s="30"/>
      <c r="E10" s="29"/>
      <c r="F10" s="29"/>
      <c r="G10" s="29"/>
    </row>
    <row r="11" spans="3:7" x14ac:dyDescent="0.45">
      <c r="C11" s="29"/>
      <c r="D11" s="30"/>
      <c r="E11" s="29"/>
      <c r="F11" s="29"/>
      <c r="G11" s="29"/>
    </row>
    <row r="12" spans="3:7" x14ac:dyDescent="0.45">
      <c r="C12" s="29"/>
      <c r="D12" s="30"/>
      <c r="E12" s="29"/>
      <c r="F12" s="29"/>
      <c r="G12" s="29"/>
    </row>
    <row r="13" spans="3:7" x14ac:dyDescent="0.45">
      <c r="C13" s="29"/>
      <c r="D13" s="30"/>
      <c r="E13" s="29"/>
      <c r="F13" s="29"/>
      <c r="G13" s="29"/>
    </row>
    <row r="14" spans="3:7" x14ac:dyDescent="0.45">
      <c r="C14" s="29"/>
      <c r="D14" s="30"/>
      <c r="E14" s="29"/>
      <c r="F14" s="29"/>
      <c r="G14" s="29"/>
    </row>
    <row r="15" spans="3:7" x14ac:dyDescent="0.45">
      <c r="C15" s="29"/>
      <c r="D15" s="30"/>
      <c r="E15" s="29"/>
      <c r="F15" s="29"/>
      <c r="G15" s="29"/>
    </row>
    <row r="16" spans="3:7" x14ac:dyDescent="0.45">
      <c r="C16" s="29"/>
      <c r="D16" s="30"/>
      <c r="E16" s="29"/>
      <c r="F16" s="29"/>
      <c r="G16" s="29"/>
    </row>
    <row r="17" spans="3:7" x14ac:dyDescent="0.45">
      <c r="C17" s="29"/>
      <c r="D17" s="30"/>
      <c r="E17" s="29"/>
      <c r="F17" s="29"/>
      <c r="G17" s="29"/>
    </row>
    <row r="18" spans="3:7" x14ac:dyDescent="0.45">
      <c r="C18" s="29"/>
      <c r="D18" s="30"/>
      <c r="E18" s="29"/>
      <c r="F18" s="29"/>
      <c r="G18" s="29"/>
    </row>
    <row r="19" spans="3:7" x14ac:dyDescent="0.45">
      <c r="C19" s="29"/>
      <c r="D19" s="30"/>
      <c r="E19" s="29"/>
      <c r="F19" s="29"/>
      <c r="G19" s="29"/>
    </row>
    <row r="20" spans="3:7" x14ac:dyDescent="0.45">
      <c r="C20" s="29"/>
      <c r="D20" s="30"/>
      <c r="E20" s="29"/>
      <c r="F20" s="29"/>
      <c r="G20" s="29"/>
    </row>
    <row r="21" spans="3:7" x14ac:dyDescent="0.45">
      <c r="C21" s="29"/>
      <c r="D21" s="30"/>
      <c r="E21" s="29"/>
      <c r="F21" s="29"/>
      <c r="G21" s="29"/>
    </row>
    <row r="22" spans="3:7" x14ac:dyDescent="0.45">
      <c r="C22" s="29"/>
      <c r="D22" s="30"/>
      <c r="E22" s="29"/>
      <c r="F22" s="29"/>
      <c r="G22" s="29"/>
    </row>
    <row r="23" spans="3:7" x14ac:dyDescent="0.45">
      <c r="C23" s="29"/>
      <c r="D23" s="30"/>
      <c r="E23" s="29"/>
      <c r="F23" s="29"/>
      <c r="G23" s="29"/>
    </row>
    <row r="24" spans="3:7" x14ac:dyDescent="0.45">
      <c r="C24" s="29"/>
      <c r="D24" s="30"/>
      <c r="E24" s="29"/>
      <c r="F24" s="29"/>
      <c r="G24" s="29"/>
    </row>
    <row r="25" spans="3:7" x14ac:dyDescent="0.45">
      <c r="C25" s="29"/>
      <c r="D25" s="30"/>
      <c r="E25" s="29"/>
      <c r="F25" s="29"/>
      <c r="G25" s="29"/>
    </row>
    <row r="26" spans="3:7" x14ac:dyDescent="0.45">
      <c r="C26" s="29"/>
      <c r="D26" s="30"/>
      <c r="E26" s="29"/>
      <c r="F26" s="29"/>
      <c r="G26" s="29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Entrada Inválida" error="Selecione uma das opções da lista" xr:uid="{5F366A5B-8E54-4081-8BBA-4A403242E772}">
          <x14:formula1>
            <xm:f>Tabelas!$E$2:$E$10</xm:f>
          </x14:formula1>
          <xm:sqref>C7:C26</xm:sqref>
        </x14:dataValidation>
        <x14:dataValidation type="list" allowBlank="1" showInputMessage="1" showErrorMessage="1" errorTitle="Raça/Cor Não Identificada" error="Preencha uma das opções da lista" xr:uid="{B556E589-370C-40CD-9B98-F4E78AD6114A}">
          <x14:formula1>
            <xm:f>Tabelas!$A$2:$A$6</xm:f>
          </x14:formula1>
          <xm:sqref>G7:G26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4ADBF-99A2-4012-8593-3F3FE1CC946F}">
  <dimension ref="A2:K27"/>
  <sheetViews>
    <sheetView showGridLines="0" showRowColHeaders="0" zoomScaleNormal="100" workbookViewId="0">
      <selection activeCell="C7" sqref="C7"/>
    </sheetView>
  </sheetViews>
  <sheetFormatPr defaultRowHeight="16.5" x14ac:dyDescent="0.45"/>
  <cols>
    <col min="1" max="1" width="29.90625" style="1" customWidth="1"/>
    <col min="2" max="2" width="8.7265625" style="2"/>
    <col min="3" max="4" width="30.36328125" style="2" customWidth="1"/>
    <col min="5" max="5" width="29.90625" style="2" bestFit="1" customWidth="1"/>
    <col min="6" max="6" width="18.81640625" style="2" bestFit="1" customWidth="1"/>
    <col min="7" max="7" width="18" style="2" bestFit="1" customWidth="1"/>
    <col min="8" max="8" width="32" style="2" bestFit="1" customWidth="1"/>
    <col min="9" max="9" width="15" style="2" bestFit="1" customWidth="1"/>
    <col min="10" max="11" width="19.6328125" style="2" bestFit="1" customWidth="1"/>
    <col min="12" max="16384" width="8.7265625" style="2"/>
  </cols>
  <sheetData>
    <row r="2" spans="3:11" x14ac:dyDescent="0.45">
      <c r="G2" s="20"/>
    </row>
    <row r="3" spans="3:11" ht="23" thickBot="1" x14ac:dyDescent="0.65">
      <c r="C3" s="3" t="s">
        <v>73</v>
      </c>
      <c r="D3" s="3"/>
      <c r="E3" s="3"/>
      <c r="F3" s="3"/>
      <c r="G3" s="3"/>
      <c r="H3" s="3"/>
      <c r="I3" s="3"/>
      <c r="J3" s="3"/>
      <c r="K3" s="3"/>
    </row>
    <row r="4" spans="3:11" ht="17" thickTop="1" x14ac:dyDescent="0.45">
      <c r="C4" s="4" t="s">
        <v>177</v>
      </c>
      <c r="D4" s="4"/>
      <c r="E4" s="4"/>
      <c r="F4" s="4"/>
      <c r="G4" s="4"/>
      <c r="H4" s="21"/>
      <c r="I4" s="21"/>
      <c r="J4" s="4"/>
      <c r="K4" s="4"/>
    </row>
    <row r="6" spans="3:11" x14ac:dyDescent="0.45">
      <c r="C6" s="13" t="s">
        <v>174</v>
      </c>
      <c r="D6" s="13" t="s">
        <v>96</v>
      </c>
      <c r="E6" s="13" t="s">
        <v>74</v>
      </c>
      <c r="F6" s="13" t="s">
        <v>79</v>
      </c>
      <c r="G6" s="13" t="s">
        <v>75</v>
      </c>
      <c r="H6" s="13" t="s">
        <v>76</v>
      </c>
      <c r="I6" s="13" t="s">
        <v>175</v>
      </c>
      <c r="J6" s="13" t="s">
        <v>77</v>
      </c>
      <c r="K6" s="13" t="s">
        <v>78</v>
      </c>
    </row>
    <row r="7" spans="3:11" x14ac:dyDescent="0.45">
      <c r="C7" s="32" t="s">
        <v>102</v>
      </c>
      <c r="D7" s="29"/>
      <c r="E7" s="29" t="s">
        <v>80</v>
      </c>
      <c r="F7" s="33">
        <v>12453678000110</v>
      </c>
      <c r="G7" s="32">
        <v>150000</v>
      </c>
      <c r="H7" s="32">
        <v>13500</v>
      </c>
      <c r="I7" s="32">
        <v>41250</v>
      </c>
      <c r="J7" s="32">
        <v>12500</v>
      </c>
      <c r="K7" s="32">
        <v>3400</v>
      </c>
    </row>
    <row r="8" spans="3:11" x14ac:dyDescent="0.45">
      <c r="C8" s="32" t="s">
        <v>58</v>
      </c>
      <c r="D8" s="29" t="s">
        <v>93</v>
      </c>
      <c r="E8" s="29" t="s">
        <v>80</v>
      </c>
      <c r="F8" s="33">
        <v>25489712000236</v>
      </c>
      <c r="G8" s="32">
        <v>30000</v>
      </c>
      <c r="H8" s="32">
        <v>2700</v>
      </c>
      <c r="I8" s="32">
        <v>0</v>
      </c>
      <c r="J8" s="32">
        <v>2500</v>
      </c>
      <c r="K8" s="32">
        <v>0</v>
      </c>
    </row>
    <row r="9" spans="3:11" x14ac:dyDescent="0.45">
      <c r="C9" s="32" t="s">
        <v>102</v>
      </c>
      <c r="D9" s="29"/>
      <c r="E9" s="29" t="s">
        <v>80</v>
      </c>
      <c r="F9" s="33">
        <v>45621230005030</v>
      </c>
      <c r="G9" s="32">
        <v>190000</v>
      </c>
      <c r="H9" s="32">
        <v>15000</v>
      </c>
      <c r="I9" s="32">
        <v>47000</v>
      </c>
      <c r="J9" s="32">
        <v>15800</v>
      </c>
      <c r="K9" s="32">
        <v>5000</v>
      </c>
    </row>
    <row r="10" spans="3:11" x14ac:dyDescent="0.45">
      <c r="C10" s="32"/>
      <c r="D10" s="29"/>
      <c r="E10" s="29"/>
      <c r="F10" s="33"/>
      <c r="G10" s="32"/>
      <c r="H10" s="32"/>
      <c r="I10" s="32"/>
      <c r="J10" s="32"/>
      <c r="K10" s="32"/>
    </row>
    <row r="11" spans="3:11" x14ac:dyDescent="0.45">
      <c r="C11" s="32"/>
      <c r="D11" s="29"/>
      <c r="E11" s="29"/>
      <c r="F11" s="33"/>
      <c r="G11" s="32"/>
      <c r="H11" s="32"/>
      <c r="I11" s="32"/>
      <c r="J11" s="32"/>
      <c r="K11" s="32"/>
    </row>
    <row r="12" spans="3:11" x14ac:dyDescent="0.45">
      <c r="C12" s="32"/>
      <c r="D12" s="29"/>
      <c r="E12" s="29"/>
      <c r="F12" s="33"/>
      <c r="G12" s="32"/>
      <c r="H12" s="32"/>
      <c r="I12" s="32"/>
      <c r="J12" s="32"/>
      <c r="K12" s="32"/>
    </row>
    <row r="13" spans="3:11" x14ac:dyDescent="0.45">
      <c r="C13" s="32"/>
      <c r="D13" s="29"/>
      <c r="E13" s="29"/>
      <c r="F13" s="33"/>
      <c r="G13" s="32"/>
      <c r="H13" s="32"/>
      <c r="I13" s="32"/>
      <c r="J13" s="32"/>
      <c r="K13" s="32"/>
    </row>
    <row r="14" spans="3:11" x14ac:dyDescent="0.45">
      <c r="C14" s="32"/>
      <c r="D14" s="29"/>
      <c r="E14" s="29"/>
      <c r="F14" s="33"/>
      <c r="G14" s="32"/>
      <c r="H14" s="32"/>
      <c r="I14" s="32"/>
      <c r="J14" s="32"/>
      <c r="K14" s="32"/>
    </row>
    <row r="15" spans="3:11" x14ac:dyDescent="0.45">
      <c r="C15" s="32"/>
      <c r="D15" s="29"/>
      <c r="E15" s="29"/>
      <c r="F15" s="33"/>
      <c r="G15" s="32"/>
      <c r="H15" s="32"/>
      <c r="I15" s="32"/>
      <c r="J15" s="32"/>
      <c r="K15" s="32"/>
    </row>
    <row r="16" spans="3:11" x14ac:dyDescent="0.45">
      <c r="C16" s="32"/>
      <c r="D16" s="29"/>
      <c r="E16" s="29"/>
      <c r="F16" s="33"/>
      <c r="G16" s="32"/>
      <c r="H16" s="32"/>
      <c r="I16" s="32"/>
      <c r="J16" s="32"/>
      <c r="K16" s="32"/>
    </row>
    <row r="17" spans="3:11" x14ac:dyDescent="0.45">
      <c r="C17" s="32"/>
      <c r="D17" s="29"/>
      <c r="E17" s="29"/>
      <c r="F17" s="33"/>
      <c r="G17" s="32"/>
      <c r="H17" s="32"/>
      <c r="I17" s="32"/>
      <c r="J17" s="32"/>
      <c r="K17" s="32"/>
    </row>
    <row r="18" spans="3:11" x14ac:dyDescent="0.45">
      <c r="C18" s="32"/>
      <c r="D18" s="29"/>
      <c r="E18" s="29"/>
      <c r="F18" s="33"/>
      <c r="G18" s="32"/>
      <c r="H18" s="32"/>
      <c r="I18" s="32"/>
      <c r="J18" s="32"/>
      <c r="K18" s="32"/>
    </row>
    <row r="19" spans="3:11" x14ac:dyDescent="0.45">
      <c r="C19" s="32"/>
      <c r="D19" s="29"/>
      <c r="E19" s="29"/>
      <c r="F19" s="33"/>
      <c r="G19" s="32"/>
      <c r="H19" s="32"/>
      <c r="I19" s="32"/>
      <c r="J19" s="32"/>
      <c r="K19" s="32"/>
    </row>
    <row r="20" spans="3:11" x14ac:dyDescent="0.45">
      <c r="C20" s="32"/>
      <c r="D20" s="29"/>
      <c r="E20" s="29"/>
      <c r="F20" s="33"/>
      <c r="G20" s="32"/>
      <c r="H20" s="32"/>
      <c r="I20" s="32"/>
      <c r="J20" s="32"/>
      <c r="K20" s="32"/>
    </row>
    <row r="21" spans="3:11" x14ac:dyDescent="0.45">
      <c r="C21" s="32"/>
      <c r="D21" s="29"/>
      <c r="E21" s="29"/>
      <c r="F21" s="33"/>
      <c r="G21" s="32"/>
      <c r="H21" s="32"/>
      <c r="I21" s="32"/>
      <c r="J21" s="32"/>
      <c r="K21" s="32"/>
    </row>
    <row r="22" spans="3:11" x14ac:dyDescent="0.45">
      <c r="C22" s="32"/>
      <c r="D22" s="29"/>
      <c r="E22" s="29"/>
      <c r="F22" s="33"/>
      <c r="G22" s="32"/>
      <c r="H22" s="32"/>
      <c r="I22" s="32"/>
      <c r="J22" s="32"/>
      <c r="K22" s="32"/>
    </row>
    <row r="23" spans="3:11" x14ac:dyDescent="0.45">
      <c r="C23" s="32"/>
      <c r="D23" s="29"/>
      <c r="E23" s="29"/>
      <c r="F23" s="33"/>
      <c r="G23" s="32"/>
      <c r="H23" s="32"/>
      <c r="I23" s="32"/>
      <c r="J23" s="32"/>
      <c r="K23" s="32"/>
    </row>
    <row r="24" spans="3:11" x14ac:dyDescent="0.45">
      <c r="C24" s="32"/>
      <c r="D24" s="29"/>
      <c r="E24" s="29"/>
      <c r="F24" s="33"/>
      <c r="G24" s="32"/>
      <c r="H24" s="32"/>
      <c r="I24" s="32"/>
      <c r="J24" s="32"/>
      <c r="K24" s="32"/>
    </row>
    <row r="25" spans="3:11" x14ac:dyDescent="0.45">
      <c r="C25" s="32"/>
      <c r="D25" s="29"/>
      <c r="E25" s="29"/>
      <c r="F25" s="33"/>
      <c r="G25" s="32"/>
      <c r="H25" s="32"/>
      <c r="I25" s="32"/>
      <c r="J25" s="32"/>
      <c r="K25" s="32"/>
    </row>
    <row r="26" spans="3:11" x14ac:dyDescent="0.45">
      <c r="C26" s="32"/>
      <c r="D26" s="29"/>
      <c r="E26" s="29"/>
      <c r="F26" s="33"/>
      <c r="G26" s="32"/>
      <c r="H26" s="32"/>
      <c r="I26" s="32"/>
      <c r="J26" s="32"/>
      <c r="K26" s="32"/>
    </row>
    <row r="27" spans="3:11" x14ac:dyDescent="0.45">
      <c r="C27" s="13" t="s">
        <v>81</v>
      </c>
      <c r="D27" s="13"/>
      <c r="F27" s="13"/>
      <c r="G27" s="19">
        <f>SUBTOTAL(109,rendimentos_tributaveis[Rendimentos])</f>
        <v>370000</v>
      </c>
      <c r="H27" s="19">
        <f>SUBTOTAL(109,rendimentos_tributaveis[Contribuição Previdenciária])</f>
        <v>31200</v>
      </c>
      <c r="I27" s="19">
        <f>SUBTOTAL(109,rendimentos_tributaveis[IRRF])</f>
        <v>88250</v>
      </c>
      <c r="J27" s="19">
        <f>SUBTOTAL(109,rendimentos_tributaveis[13º Salário])</f>
        <v>30800</v>
      </c>
      <c r="K27" s="19">
        <f>SUBTOTAL(109,rendimentos_tributaveis[IRRF Sobre 13º])</f>
        <v>8400</v>
      </c>
    </row>
  </sheetData>
  <sheetProtection sheet="1" objects="1" scenarios="1" selectLockedCells="1"/>
  <conditionalFormatting sqref="D7:D26">
    <cfRule type="expression" dxfId="7" priority="1">
      <formula>$C7="Titular"</formula>
    </cfRule>
  </conditionalFormatting>
  <dataValidations count="1">
    <dataValidation type="list" allowBlank="1" showInputMessage="1" showErrorMessage="1" errorTitle="Entrada Inválida" error="Preencha com uma das opções da lista" sqref="C7:C26" xr:uid="{7C92939A-2BB1-457A-A9A7-EFC31FE900DB}">
      <formula1>"Titular,Dependente"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H7:J7 H8:K8 I9:K9" calculatedColumn="1"/>
  </ignoredError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ntrada Inválida" error="Indique com qual dependente a despesa foi realizada (Se a despesa foi com o titular, não preencher)_x000a_" xr:uid="{84024534-03E1-4FA9-BF8D-DB214580E189}">
          <x14:formula1>
            <xm:f>DEPENDENTES!$E$7:$E$26</xm:f>
          </x14:formula1>
          <xm:sqref>D7:D26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7B1F-CB48-4634-86A6-9ABF98CA5C38}">
  <dimension ref="A3:J27"/>
  <sheetViews>
    <sheetView showGridLines="0" showRowColHeaders="0" zoomScaleNormal="100" workbookViewId="0">
      <selection activeCell="C7" sqref="C7"/>
    </sheetView>
  </sheetViews>
  <sheetFormatPr defaultRowHeight="16.5" x14ac:dyDescent="0.45"/>
  <cols>
    <col min="1" max="1" width="29.90625" style="1" customWidth="1"/>
    <col min="2" max="2" width="8.7265625" style="2"/>
    <col min="3" max="3" width="28" style="2" bestFit="1" customWidth="1"/>
    <col min="4" max="4" width="26.54296875" style="2" bestFit="1" customWidth="1"/>
    <col min="5" max="5" width="20.08984375" style="2" bestFit="1" customWidth="1"/>
    <col min="6" max="6" width="23.54296875" style="2" bestFit="1" customWidth="1"/>
    <col min="7" max="7" width="22.08984375" style="2" customWidth="1"/>
    <col min="8" max="8" width="24.1796875" style="2" bestFit="1" customWidth="1"/>
    <col min="9" max="9" width="29" style="2" bestFit="1" customWidth="1"/>
    <col min="10" max="10" width="26.36328125" style="2" bestFit="1" customWidth="1"/>
    <col min="11" max="16384" width="8.7265625" style="2"/>
  </cols>
  <sheetData>
    <row r="3" spans="3:10" ht="23" thickBot="1" x14ac:dyDescent="0.65">
      <c r="C3" s="15" t="s">
        <v>82</v>
      </c>
      <c r="D3" s="15"/>
      <c r="E3" s="14"/>
      <c r="F3" s="3"/>
      <c r="G3" s="3"/>
      <c r="H3" s="3"/>
      <c r="I3" s="3"/>
      <c r="J3" s="3"/>
    </row>
    <row r="4" spans="3:10" ht="17" thickTop="1" x14ac:dyDescent="0.45">
      <c r="C4" s="16" t="s">
        <v>178</v>
      </c>
      <c r="D4" s="16"/>
      <c r="E4" s="17"/>
      <c r="F4" s="17"/>
      <c r="G4" s="17"/>
      <c r="H4" s="17"/>
      <c r="I4" s="17"/>
      <c r="J4" s="17"/>
    </row>
    <row r="5" spans="3:10" x14ac:dyDescent="0.45">
      <c r="F5" s="22"/>
    </row>
    <row r="6" spans="3:10" x14ac:dyDescent="0.45">
      <c r="C6" s="13" t="s">
        <v>92</v>
      </c>
      <c r="D6" s="13" t="s">
        <v>96</v>
      </c>
      <c r="E6" s="13" t="s">
        <v>103</v>
      </c>
      <c r="F6" s="13" t="s">
        <v>98</v>
      </c>
      <c r="G6" s="13" t="s">
        <v>99</v>
      </c>
      <c r="H6" s="13" t="s">
        <v>97</v>
      </c>
      <c r="I6" s="13" t="s">
        <v>100</v>
      </c>
      <c r="J6" s="13" t="s">
        <v>101</v>
      </c>
    </row>
    <row r="7" spans="3:10" x14ac:dyDescent="0.45">
      <c r="C7" s="29" t="s">
        <v>102</v>
      </c>
      <c r="D7" s="29"/>
      <c r="E7" s="29" t="s">
        <v>85</v>
      </c>
      <c r="F7" s="33">
        <v>45789632000145</v>
      </c>
      <c r="G7" s="30"/>
      <c r="H7" s="32" t="s">
        <v>80</v>
      </c>
      <c r="I7" s="32">
        <v>7000</v>
      </c>
      <c r="J7" s="32" t="s">
        <v>104</v>
      </c>
    </row>
    <row r="8" spans="3:10" x14ac:dyDescent="0.45">
      <c r="C8" s="29" t="s">
        <v>58</v>
      </c>
      <c r="D8" s="29" t="s">
        <v>94</v>
      </c>
      <c r="E8" s="29" t="s">
        <v>84</v>
      </c>
      <c r="F8" s="33">
        <v>62347890001248</v>
      </c>
      <c r="G8" s="30"/>
      <c r="H8" s="32" t="s">
        <v>80</v>
      </c>
      <c r="I8" s="32">
        <v>12000</v>
      </c>
      <c r="J8" s="32" t="s">
        <v>105</v>
      </c>
    </row>
    <row r="9" spans="3:10" x14ac:dyDescent="0.45">
      <c r="C9" s="29" t="s">
        <v>58</v>
      </c>
      <c r="D9" s="29" t="s">
        <v>95</v>
      </c>
      <c r="E9" s="29" t="s">
        <v>88</v>
      </c>
      <c r="F9" s="33"/>
      <c r="G9" s="30">
        <v>47915689630</v>
      </c>
      <c r="H9" s="32" t="s">
        <v>106</v>
      </c>
      <c r="I9" s="32">
        <v>4100</v>
      </c>
      <c r="J9" s="32" t="s">
        <v>107</v>
      </c>
    </row>
    <row r="10" spans="3:10" x14ac:dyDescent="0.45">
      <c r="C10" s="29" t="s">
        <v>102</v>
      </c>
      <c r="D10" s="29"/>
      <c r="E10" s="29" t="s">
        <v>87</v>
      </c>
      <c r="F10" s="33"/>
      <c r="G10" s="30">
        <v>15845623014</v>
      </c>
      <c r="H10" s="32" t="s">
        <v>108</v>
      </c>
      <c r="I10" s="32">
        <v>1200</v>
      </c>
      <c r="J10" s="32" t="s">
        <v>109</v>
      </c>
    </row>
    <row r="11" spans="3:10" x14ac:dyDescent="0.45">
      <c r="C11" s="29"/>
      <c r="D11" s="29"/>
      <c r="E11" s="29"/>
      <c r="F11" s="33"/>
      <c r="G11" s="30"/>
      <c r="H11" s="32"/>
      <c r="I11" s="32"/>
      <c r="J11" s="32"/>
    </row>
    <row r="12" spans="3:10" x14ac:dyDescent="0.45">
      <c r="C12" s="29"/>
      <c r="D12" s="29"/>
      <c r="E12" s="29"/>
      <c r="F12" s="33"/>
      <c r="G12" s="30"/>
      <c r="H12" s="32"/>
      <c r="I12" s="32"/>
      <c r="J12" s="32"/>
    </row>
    <row r="13" spans="3:10" x14ac:dyDescent="0.45">
      <c r="C13" s="29"/>
      <c r="D13" s="29"/>
      <c r="E13" s="29"/>
      <c r="F13" s="33"/>
      <c r="G13" s="30"/>
      <c r="H13" s="32"/>
      <c r="I13" s="32"/>
      <c r="J13" s="32"/>
    </row>
    <row r="14" spans="3:10" x14ac:dyDescent="0.45">
      <c r="C14" s="29"/>
      <c r="D14" s="29"/>
      <c r="E14" s="29"/>
      <c r="F14" s="33"/>
      <c r="G14" s="30"/>
      <c r="H14" s="32"/>
      <c r="I14" s="32"/>
      <c r="J14" s="32"/>
    </row>
    <row r="15" spans="3:10" x14ac:dyDescent="0.45">
      <c r="C15" s="29"/>
      <c r="D15" s="29"/>
      <c r="E15" s="29"/>
      <c r="F15" s="33"/>
      <c r="G15" s="30"/>
      <c r="H15" s="32"/>
      <c r="I15" s="32"/>
      <c r="J15" s="32"/>
    </row>
    <row r="16" spans="3:10" x14ac:dyDescent="0.45">
      <c r="C16" s="29"/>
      <c r="D16" s="29"/>
      <c r="E16" s="29"/>
      <c r="F16" s="33"/>
      <c r="G16" s="30"/>
      <c r="H16" s="32"/>
      <c r="I16" s="32"/>
      <c r="J16" s="32"/>
    </row>
    <row r="17" spans="3:10" x14ac:dyDescent="0.45">
      <c r="C17" s="29"/>
      <c r="D17" s="29"/>
      <c r="E17" s="29"/>
      <c r="F17" s="33"/>
      <c r="G17" s="30"/>
      <c r="H17" s="32"/>
      <c r="I17" s="32"/>
      <c r="J17" s="32"/>
    </row>
    <row r="18" spans="3:10" x14ac:dyDescent="0.45">
      <c r="C18" s="29"/>
      <c r="D18" s="29"/>
      <c r="E18" s="29"/>
      <c r="F18" s="33"/>
      <c r="G18" s="30"/>
      <c r="H18" s="32"/>
      <c r="I18" s="32"/>
      <c r="J18" s="32"/>
    </row>
    <row r="19" spans="3:10" x14ac:dyDescent="0.45">
      <c r="C19" s="29"/>
      <c r="D19" s="29"/>
      <c r="E19" s="29"/>
      <c r="F19" s="33"/>
      <c r="G19" s="30"/>
      <c r="H19" s="32"/>
      <c r="I19" s="32"/>
      <c r="J19" s="32"/>
    </row>
    <row r="20" spans="3:10" x14ac:dyDescent="0.45">
      <c r="C20" s="29"/>
      <c r="D20" s="29"/>
      <c r="E20" s="29"/>
      <c r="F20" s="33"/>
      <c r="G20" s="30"/>
      <c r="H20" s="32"/>
      <c r="I20" s="32"/>
      <c r="J20" s="32"/>
    </row>
    <row r="21" spans="3:10" x14ac:dyDescent="0.45">
      <c r="C21" s="29"/>
      <c r="D21" s="29"/>
      <c r="E21" s="29"/>
      <c r="F21" s="33"/>
      <c r="G21" s="30"/>
      <c r="H21" s="32"/>
      <c r="I21" s="32"/>
      <c r="J21" s="32"/>
    </row>
    <row r="22" spans="3:10" x14ac:dyDescent="0.45">
      <c r="C22" s="29"/>
      <c r="D22" s="29"/>
      <c r="E22" s="29"/>
      <c r="F22" s="33"/>
      <c r="G22" s="30"/>
      <c r="H22" s="32"/>
      <c r="I22" s="32"/>
      <c r="J22" s="32"/>
    </row>
    <row r="23" spans="3:10" x14ac:dyDescent="0.45">
      <c r="C23" s="29"/>
      <c r="D23" s="29"/>
      <c r="E23" s="29"/>
      <c r="F23" s="33"/>
      <c r="G23" s="30"/>
      <c r="H23" s="32"/>
      <c r="I23" s="32"/>
      <c r="J23" s="32"/>
    </row>
    <row r="24" spans="3:10" x14ac:dyDescent="0.45">
      <c r="C24" s="29"/>
      <c r="D24" s="29"/>
      <c r="E24" s="29"/>
      <c r="F24" s="33"/>
      <c r="G24" s="30"/>
      <c r="H24" s="32"/>
      <c r="I24" s="32"/>
      <c r="J24" s="32"/>
    </row>
    <row r="25" spans="3:10" x14ac:dyDescent="0.45">
      <c r="C25" s="29"/>
      <c r="D25" s="29"/>
      <c r="E25" s="29"/>
      <c r="F25" s="33"/>
      <c r="G25" s="30"/>
      <c r="H25" s="32"/>
      <c r="I25" s="32"/>
      <c r="J25" s="32"/>
    </row>
    <row r="26" spans="3:10" x14ac:dyDescent="0.45">
      <c r="C26" s="29"/>
      <c r="D26" s="29"/>
      <c r="E26" s="29"/>
      <c r="F26" s="33"/>
      <c r="G26" s="30"/>
      <c r="H26" s="32"/>
      <c r="I26" s="32"/>
      <c r="J26" s="32"/>
    </row>
    <row r="27" spans="3:10" x14ac:dyDescent="0.45">
      <c r="C27" s="13" t="s">
        <v>81</v>
      </c>
      <c r="D27" s="13"/>
      <c r="E27" s="13"/>
      <c r="F27" s="13"/>
      <c r="G27" s="13"/>
      <c r="H27" s="19"/>
      <c r="I27" s="19">
        <f>SUBTOTAL(109,despesas[Valor Gasto])</f>
        <v>24300</v>
      </c>
      <c r="J27" s="19"/>
    </row>
  </sheetData>
  <sheetProtection sheet="1" objects="1" scenarios="1" selectLockedCells="1"/>
  <conditionalFormatting sqref="D7:D26">
    <cfRule type="expression" dxfId="6" priority="3">
      <formula>$C7="Titular"</formula>
    </cfRule>
  </conditionalFormatting>
  <conditionalFormatting sqref="F7:F26">
    <cfRule type="expression" dxfId="5" priority="1">
      <formula>$G7&lt;&gt;""</formula>
    </cfRule>
  </conditionalFormatting>
  <conditionalFormatting sqref="G7:G26">
    <cfRule type="expression" dxfId="4" priority="2">
      <formula>$F7&lt;&gt;""</formula>
    </cfRule>
  </conditionalFormatting>
  <dataValidations count="1">
    <dataValidation type="list" allowBlank="1" showInputMessage="1" showErrorMessage="1" errorTitle="Entrada Inválida" error="Indique se a despesa foi realizada com o titular ou com um dependente_x000a_" sqref="C7:C26" xr:uid="{6E8A95D9-2B9C-4D0D-ADF3-E4C410A80E46}">
      <formula1>"Titular,Dependente"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I7:J7 I8:J8 I9:J9 I10:J10" calculatedColumn="1"/>
  </ignoredError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Entrada Inválida" error="Indique com qual dependente a despesa foi realizada (Se a despesa foi com o titular, não preencher)_x000a_" xr:uid="{43B6544F-55D3-428F-9247-39A32DE16F6F}">
          <x14:formula1>
            <xm:f>DEPENDENTES!$E$7:$E$26</xm:f>
          </x14:formula1>
          <xm:sqref>D7:D26</xm:sqref>
        </x14:dataValidation>
        <x14:dataValidation type="list" allowBlank="1" showInputMessage="1" showErrorMessage="1" errorTitle="Entrada Inválida" error="Indique a natureza do serviço prestado_x000a__x000a_" xr:uid="{42588F0F-8991-43FB-88BE-451F08C80049}">
          <x14:formula1>
            <xm:f>Tabelas!$G$2:$G$10</xm:f>
          </x14:formula1>
          <xm:sqref>E7:E26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1255-EC01-49CA-8C23-ED8E74FC8C4A}">
  <dimension ref="A3:N27"/>
  <sheetViews>
    <sheetView showGridLines="0" showRowColHeaders="0" zoomScaleNormal="100" workbookViewId="0">
      <selection activeCell="C7" sqref="C7"/>
    </sheetView>
  </sheetViews>
  <sheetFormatPr defaultRowHeight="16.5" x14ac:dyDescent="0.45"/>
  <cols>
    <col min="1" max="1" width="29.90625" style="1" customWidth="1"/>
    <col min="2" max="2" width="8.7265625" style="2"/>
    <col min="3" max="3" width="20.81640625" style="2" bestFit="1" customWidth="1"/>
    <col min="4" max="4" width="26.54296875" style="2" bestFit="1" customWidth="1"/>
    <col min="5" max="5" width="18.81640625" style="2" bestFit="1" customWidth="1"/>
    <col min="6" max="6" width="21.08984375" style="2" bestFit="1" customWidth="1"/>
    <col min="7" max="7" width="18.81640625" style="2" bestFit="1" customWidth="1"/>
    <col min="8" max="8" width="13.08984375" style="2" bestFit="1" customWidth="1"/>
    <col min="9" max="9" width="11.08984375" style="2" bestFit="1" customWidth="1"/>
    <col min="10" max="10" width="8.36328125" style="2" bestFit="1" customWidth="1"/>
    <col min="11" max="11" width="19.81640625" style="2" bestFit="1" customWidth="1"/>
    <col min="12" max="12" width="18" style="2" bestFit="1" customWidth="1"/>
    <col min="13" max="13" width="8.7265625" style="2"/>
    <col min="14" max="14" width="11.1796875" style="2" bestFit="1" customWidth="1"/>
    <col min="15" max="16384" width="8.7265625" style="2"/>
  </cols>
  <sheetData>
    <row r="3" spans="3:14" ht="23" thickBot="1" x14ac:dyDescent="0.65">
      <c r="C3" s="15" t="s">
        <v>110</v>
      </c>
      <c r="D3" s="15"/>
      <c r="E3" s="3"/>
      <c r="F3" s="3"/>
      <c r="G3" s="3"/>
      <c r="H3" s="3"/>
      <c r="I3" s="3"/>
      <c r="J3" s="3"/>
      <c r="K3" s="3"/>
      <c r="L3" s="3"/>
    </row>
    <row r="4" spans="3:14" ht="17" thickTop="1" x14ac:dyDescent="0.45">
      <c r="C4" s="16" t="s">
        <v>179</v>
      </c>
      <c r="D4" s="16"/>
      <c r="E4" s="16"/>
      <c r="F4" s="16"/>
      <c r="G4" s="16"/>
      <c r="H4" s="16"/>
      <c r="I4" s="16"/>
      <c r="J4" s="16"/>
      <c r="K4" s="16"/>
      <c r="L4" s="16"/>
    </row>
    <row r="6" spans="3:14" x14ac:dyDescent="0.45">
      <c r="C6" s="13" t="s">
        <v>176</v>
      </c>
      <c r="D6" s="13" t="s">
        <v>96</v>
      </c>
      <c r="E6" s="13" t="s">
        <v>165</v>
      </c>
      <c r="F6" s="13" t="s">
        <v>166</v>
      </c>
      <c r="G6" s="13" t="s">
        <v>168</v>
      </c>
      <c r="H6" s="13" t="s">
        <v>169</v>
      </c>
      <c r="I6" s="13" t="s">
        <v>170</v>
      </c>
      <c r="J6" s="13" t="s">
        <v>171</v>
      </c>
      <c r="K6" s="13" t="s">
        <v>172</v>
      </c>
      <c r="L6" s="13" t="s">
        <v>75</v>
      </c>
    </row>
    <row r="7" spans="3:14" x14ac:dyDescent="0.45">
      <c r="C7" s="32" t="s">
        <v>102</v>
      </c>
      <c r="D7" s="29"/>
      <c r="E7" s="29" t="s">
        <v>112</v>
      </c>
      <c r="F7" s="29" t="s">
        <v>149</v>
      </c>
      <c r="G7" s="33" t="s">
        <v>173</v>
      </c>
      <c r="H7" s="29">
        <v>123</v>
      </c>
      <c r="I7" s="29">
        <v>123456</v>
      </c>
      <c r="J7" s="29">
        <v>5</v>
      </c>
      <c r="K7" s="32">
        <v>180000</v>
      </c>
      <c r="L7" s="32">
        <v>0</v>
      </c>
    </row>
    <row r="8" spans="3:14" x14ac:dyDescent="0.45">
      <c r="C8" s="32" t="s">
        <v>58</v>
      </c>
      <c r="D8" s="29" t="s">
        <v>93</v>
      </c>
      <c r="E8" s="29" t="s">
        <v>113</v>
      </c>
      <c r="F8" s="29" t="s">
        <v>153</v>
      </c>
      <c r="G8" s="33">
        <v>90400888000142</v>
      </c>
      <c r="H8" s="29">
        <v>456</v>
      </c>
      <c r="I8" s="29">
        <v>654123</v>
      </c>
      <c r="J8" s="29">
        <v>6</v>
      </c>
      <c r="K8" s="32">
        <v>65000</v>
      </c>
      <c r="L8" s="32">
        <v>650</v>
      </c>
      <c r="N8" s="20"/>
    </row>
    <row r="9" spans="3:14" x14ac:dyDescent="0.45">
      <c r="C9" s="32" t="s">
        <v>102</v>
      </c>
      <c r="D9" s="29"/>
      <c r="E9" s="29" t="s">
        <v>114</v>
      </c>
      <c r="F9" s="29" t="s">
        <v>124</v>
      </c>
      <c r="G9" s="33">
        <v>60746948000112</v>
      </c>
      <c r="H9" s="29">
        <v>789</v>
      </c>
      <c r="I9" s="29">
        <v>789654</v>
      </c>
      <c r="J9" s="29">
        <v>9</v>
      </c>
      <c r="K9" s="32">
        <v>350000</v>
      </c>
      <c r="L9" s="32">
        <v>15000</v>
      </c>
    </row>
    <row r="10" spans="3:14" x14ac:dyDescent="0.45">
      <c r="C10" s="32"/>
      <c r="D10" s="29"/>
      <c r="E10" s="29"/>
      <c r="F10" s="29"/>
      <c r="G10" s="33"/>
      <c r="H10" s="29"/>
      <c r="I10" s="29"/>
      <c r="J10" s="29"/>
      <c r="K10" s="32"/>
      <c r="L10" s="32"/>
    </row>
    <row r="11" spans="3:14" x14ac:dyDescent="0.45">
      <c r="C11" s="32"/>
      <c r="D11" s="29"/>
      <c r="E11" s="29"/>
      <c r="F11" s="29"/>
      <c r="G11" s="33"/>
      <c r="H11" s="29"/>
      <c r="I11" s="29"/>
      <c r="J11" s="29"/>
      <c r="K11" s="32"/>
      <c r="L11" s="32"/>
    </row>
    <row r="12" spans="3:14" x14ac:dyDescent="0.45">
      <c r="C12" s="32"/>
      <c r="D12" s="29"/>
      <c r="E12" s="29"/>
      <c r="F12" s="29"/>
      <c r="G12" s="33"/>
      <c r="H12" s="29"/>
      <c r="I12" s="29"/>
      <c r="J12" s="29"/>
      <c r="K12" s="32"/>
      <c r="L12" s="32"/>
    </row>
    <row r="13" spans="3:14" x14ac:dyDescent="0.45">
      <c r="C13" s="32"/>
      <c r="D13" s="29"/>
      <c r="E13" s="29"/>
      <c r="F13" s="29"/>
      <c r="G13" s="33"/>
      <c r="H13" s="29"/>
      <c r="I13" s="29"/>
      <c r="J13" s="29"/>
      <c r="K13" s="32"/>
      <c r="L13" s="32"/>
    </row>
    <row r="14" spans="3:14" x14ac:dyDescent="0.45">
      <c r="C14" s="32"/>
      <c r="D14" s="29"/>
      <c r="E14" s="29"/>
      <c r="F14" s="29"/>
      <c r="G14" s="33"/>
      <c r="H14" s="29"/>
      <c r="I14" s="29"/>
      <c r="J14" s="29"/>
      <c r="K14" s="32"/>
      <c r="L14" s="32"/>
    </row>
    <row r="15" spans="3:14" x14ac:dyDescent="0.45">
      <c r="C15" s="32"/>
      <c r="D15" s="29"/>
      <c r="E15" s="29"/>
      <c r="F15" s="29"/>
      <c r="G15" s="33"/>
      <c r="H15" s="29"/>
      <c r="I15" s="29"/>
      <c r="J15" s="29"/>
      <c r="K15" s="32"/>
      <c r="L15" s="32"/>
    </row>
    <row r="16" spans="3:14" x14ac:dyDescent="0.45">
      <c r="C16" s="32"/>
      <c r="D16" s="29"/>
      <c r="E16" s="29"/>
      <c r="F16" s="29"/>
      <c r="G16" s="33"/>
      <c r="H16" s="29"/>
      <c r="I16" s="29"/>
      <c r="J16" s="29"/>
      <c r="K16" s="32"/>
      <c r="L16" s="32"/>
    </row>
    <row r="17" spans="3:12" x14ac:dyDescent="0.45">
      <c r="C17" s="32"/>
      <c r="D17" s="29"/>
      <c r="E17" s="29"/>
      <c r="F17" s="29"/>
      <c r="G17" s="33"/>
      <c r="H17" s="29"/>
      <c r="I17" s="29"/>
      <c r="J17" s="29"/>
      <c r="K17" s="32"/>
      <c r="L17" s="32"/>
    </row>
    <row r="18" spans="3:12" x14ac:dyDescent="0.45">
      <c r="C18" s="32"/>
      <c r="D18" s="29"/>
      <c r="E18" s="29"/>
      <c r="F18" s="29"/>
      <c r="G18" s="33"/>
      <c r="H18" s="29"/>
      <c r="I18" s="29"/>
      <c r="J18" s="29"/>
      <c r="K18" s="32"/>
      <c r="L18" s="32"/>
    </row>
    <row r="19" spans="3:12" x14ac:dyDescent="0.45">
      <c r="C19" s="32"/>
      <c r="D19" s="29"/>
      <c r="E19" s="29"/>
      <c r="F19" s="29"/>
      <c r="G19" s="33"/>
      <c r="H19" s="29"/>
      <c r="I19" s="29"/>
      <c r="J19" s="29"/>
      <c r="K19" s="32"/>
      <c r="L19" s="32"/>
    </row>
    <row r="20" spans="3:12" x14ac:dyDescent="0.45">
      <c r="C20" s="32"/>
      <c r="D20" s="29"/>
      <c r="E20" s="29"/>
      <c r="F20" s="29"/>
      <c r="G20" s="33"/>
      <c r="H20" s="29"/>
      <c r="I20" s="29"/>
      <c r="J20" s="29"/>
      <c r="K20" s="32"/>
      <c r="L20" s="32"/>
    </row>
    <row r="21" spans="3:12" x14ac:dyDescent="0.45">
      <c r="C21" s="32"/>
      <c r="D21" s="29"/>
      <c r="E21" s="29"/>
      <c r="F21" s="29"/>
      <c r="G21" s="33"/>
      <c r="H21" s="29"/>
      <c r="I21" s="29"/>
      <c r="J21" s="29"/>
      <c r="K21" s="32"/>
      <c r="L21" s="32"/>
    </row>
    <row r="22" spans="3:12" x14ac:dyDescent="0.45">
      <c r="C22" s="32"/>
      <c r="D22" s="29"/>
      <c r="E22" s="29"/>
      <c r="F22" s="29"/>
      <c r="G22" s="33"/>
      <c r="H22" s="29"/>
      <c r="I22" s="29"/>
      <c r="J22" s="29"/>
      <c r="K22" s="32"/>
      <c r="L22" s="32"/>
    </row>
    <row r="23" spans="3:12" x14ac:dyDescent="0.45">
      <c r="C23" s="32"/>
      <c r="D23" s="29"/>
      <c r="E23" s="29"/>
      <c r="F23" s="29"/>
      <c r="G23" s="33"/>
      <c r="H23" s="29"/>
      <c r="I23" s="29"/>
      <c r="J23" s="29"/>
      <c r="K23" s="32"/>
      <c r="L23" s="32"/>
    </row>
    <row r="24" spans="3:12" x14ac:dyDescent="0.45">
      <c r="C24" s="32"/>
      <c r="D24" s="29"/>
      <c r="E24" s="29"/>
      <c r="F24" s="29"/>
      <c r="G24" s="33"/>
      <c r="H24" s="29"/>
      <c r="I24" s="29"/>
      <c r="J24" s="29"/>
      <c r="K24" s="32"/>
      <c r="L24" s="32"/>
    </row>
    <row r="25" spans="3:12" x14ac:dyDescent="0.45">
      <c r="C25" s="32"/>
      <c r="D25" s="29"/>
      <c r="E25" s="29"/>
      <c r="F25" s="29"/>
      <c r="G25" s="33"/>
      <c r="H25" s="29"/>
      <c r="I25" s="29"/>
      <c r="J25" s="29"/>
      <c r="K25" s="32"/>
      <c r="L25" s="32"/>
    </row>
    <row r="26" spans="3:12" x14ac:dyDescent="0.45">
      <c r="C26" s="32"/>
      <c r="D26" s="29"/>
      <c r="E26" s="29"/>
      <c r="F26" s="29"/>
      <c r="G26" s="33"/>
      <c r="H26" s="29"/>
      <c r="I26" s="29"/>
      <c r="J26" s="29"/>
      <c r="K26" s="32"/>
      <c r="L26" s="32"/>
    </row>
    <row r="27" spans="3:12" x14ac:dyDescent="0.45">
      <c r="C27" s="13" t="s">
        <v>81</v>
      </c>
      <c r="D27" s="13"/>
      <c r="F27" s="13"/>
      <c r="G27" s="13"/>
      <c r="H27" s="13"/>
      <c r="I27" s="13"/>
      <c r="J27" s="19"/>
      <c r="K27" s="19">
        <f>SUBTOTAL(109,informe_bancario[Saldo da Conta])</f>
        <v>595000</v>
      </c>
      <c r="L27" s="19">
        <f>SUBTOTAL(109,informe_bancario[Rendimentos])</f>
        <v>15650</v>
      </c>
    </row>
  </sheetData>
  <sheetProtection sheet="1" objects="1" scenarios="1" selectLockedCells="1"/>
  <conditionalFormatting sqref="D7:D26">
    <cfRule type="expression" dxfId="3" priority="1">
      <formula>$C7="Titular"</formula>
    </cfRule>
  </conditionalFormatting>
  <dataValidations count="1">
    <dataValidation type="list" allowBlank="1" showInputMessage="1" showErrorMessage="1" errorTitle="Entrada Inválida" error="Preencha com uma das opções da lista" sqref="C7:C26" xr:uid="{CC536D4F-F124-403F-8F82-DA1E0F2A3E30}">
      <formula1>"Titular,Dependente"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Entrada Inválida" error="Preencha com uma das opções da lista" xr:uid="{B5A4CFC6-A9A4-4E71-A87B-425DCE689349}">
          <x14:formula1>
            <xm:f>Tabelas!$I$2:$I$4</xm:f>
          </x14:formula1>
          <xm:sqref>E7:E26</xm:sqref>
        </x14:dataValidation>
        <x14:dataValidation type="list" allowBlank="1" showInputMessage="1" showErrorMessage="1" errorTitle="Entrada Inválida" error="Preencha com uma das opções da lista" xr:uid="{0950D026-4F39-4643-B3D9-79F1FCA93303}">
          <x14:formula1>
            <xm:f>Tabelas!$K$2:$K$51</xm:f>
          </x14:formula1>
          <xm:sqref>F7:F26</xm:sqref>
        </x14:dataValidation>
        <x14:dataValidation type="list" allowBlank="1" showInputMessage="1" showErrorMessage="1" errorTitle="Entrada Inválida" error="Indique com qual dependente a despesa foi realizada (Se a despesa foi com o titular, não preencher)_x000a_" xr:uid="{86BFBBCA-8226-4C8B-89AE-8164F7566929}">
          <x14:formula1>
            <xm:f>DEPENDENTES!$E$7:$E$26</xm:f>
          </x14:formula1>
          <xm:sqref>D7:D26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ACE3-36EA-40FA-BD63-F08A4692D19F}">
  <dimension ref="A3:I27"/>
  <sheetViews>
    <sheetView showGridLines="0" showRowColHeaders="0" zoomScaleNormal="100" workbookViewId="0">
      <selection activeCell="C7" sqref="C7"/>
    </sheetView>
  </sheetViews>
  <sheetFormatPr defaultRowHeight="16.5" x14ac:dyDescent="0.45"/>
  <cols>
    <col min="1" max="1" width="29.90625" style="1" customWidth="1"/>
    <col min="2" max="2" width="8.7265625" style="2"/>
    <col min="3" max="3" width="18.36328125" style="2" bestFit="1" customWidth="1"/>
    <col min="4" max="4" width="26.54296875" style="2" bestFit="1" customWidth="1"/>
    <col min="5" max="5" width="17.453125" style="2" bestFit="1" customWidth="1"/>
    <col min="6" max="6" width="23" style="2" bestFit="1" customWidth="1"/>
    <col min="7" max="7" width="18.81640625" style="2" bestFit="1" customWidth="1"/>
    <col min="8" max="8" width="22.54296875" style="2" bestFit="1" customWidth="1"/>
    <col min="9" max="9" width="18.36328125" style="2" bestFit="1" customWidth="1"/>
    <col min="10" max="16384" width="8.7265625" style="2"/>
  </cols>
  <sheetData>
    <row r="3" spans="3:9" ht="23" thickBot="1" x14ac:dyDescent="0.65">
      <c r="C3" s="15" t="s">
        <v>181</v>
      </c>
      <c r="D3" s="15"/>
      <c r="E3" s="3"/>
      <c r="F3" s="3"/>
      <c r="G3" s="3"/>
      <c r="H3" s="3"/>
      <c r="I3" s="3"/>
    </row>
    <row r="4" spans="3:9" ht="17" thickTop="1" x14ac:dyDescent="0.45">
      <c r="C4" s="16" t="s">
        <v>56</v>
      </c>
      <c r="D4" s="16"/>
      <c r="E4" s="16"/>
      <c r="F4" s="16"/>
      <c r="G4" s="16"/>
      <c r="H4" s="16"/>
      <c r="I4" s="16"/>
    </row>
    <row r="6" spans="3:9" x14ac:dyDescent="0.45">
      <c r="C6" s="13" t="s">
        <v>185</v>
      </c>
      <c r="D6" s="13" t="s">
        <v>96</v>
      </c>
      <c r="E6" s="13" t="s">
        <v>186</v>
      </c>
      <c r="F6" s="13" t="s">
        <v>187</v>
      </c>
      <c r="G6" s="13" t="s">
        <v>188</v>
      </c>
      <c r="H6" s="13" t="s">
        <v>189</v>
      </c>
      <c r="I6" s="13" t="s">
        <v>190</v>
      </c>
    </row>
    <row r="7" spans="3:9" x14ac:dyDescent="0.45">
      <c r="C7" s="32" t="s">
        <v>102</v>
      </c>
      <c r="D7" s="29"/>
      <c r="E7" s="29" t="s">
        <v>183</v>
      </c>
      <c r="F7" s="29">
        <v>12345678910</v>
      </c>
      <c r="G7" s="29"/>
      <c r="H7" s="29" t="s">
        <v>191</v>
      </c>
      <c r="I7" s="32">
        <v>350000</v>
      </c>
    </row>
    <row r="8" spans="3:9" x14ac:dyDescent="0.45">
      <c r="C8" s="32" t="s">
        <v>58</v>
      </c>
      <c r="D8" s="29" t="s">
        <v>93</v>
      </c>
      <c r="E8" s="29" t="s">
        <v>182</v>
      </c>
      <c r="F8" s="29"/>
      <c r="G8" s="29">
        <v>123456789</v>
      </c>
      <c r="H8" s="29" t="s">
        <v>192</v>
      </c>
      <c r="I8" s="32">
        <v>150000</v>
      </c>
    </row>
    <row r="9" spans="3:9" x14ac:dyDescent="0.45">
      <c r="C9" s="32" t="s">
        <v>102</v>
      </c>
      <c r="D9" s="29"/>
      <c r="E9" s="29" t="s">
        <v>182</v>
      </c>
      <c r="F9" s="29"/>
      <c r="G9" s="29">
        <v>456789123</v>
      </c>
      <c r="H9" s="29" t="s">
        <v>193</v>
      </c>
      <c r="I9" s="32">
        <v>65000</v>
      </c>
    </row>
    <row r="10" spans="3:9" x14ac:dyDescent="0.45">
      <c r="C10" s="32" t="s">
        <v>102</v>
      </c>
      <c r="D10" s="29"/>
      <c r="E10" s="29" t="s">
        <v>184</v>
      </c>
      <c r="F10" s="29"/>
      <c r="G10" s="29"/>
      <c r="H10" s="29" t="s">
        <v>194</v>
      </c>
      <c r="I10" s="32">
        <v>15000</v>
      </c>
    </row>
    <row r="11" spans="3:9" x14ac:dyDescent="0.45">
      <c r="C11" s="32"/>
      <c r="D11" s="29"/>
      <c r="E11" s="29"/>
      <c r="F11" s="29"/>
      <c r="G11" s="29"/>
      <c r="H11" s="29"/>
      <c r="I11" s="32"/>
    </row>
    <row r="12" spans="3:9" x14ac:dyDescent="0.45">
      <c r="C12" s="32"/>
      <c r="D12" s="29"/>
      <c r="E12" s="29"/>
      <c r="F12" s="29"/>
      <c r="G12" s="29"/>
      <c r="H12" s="29"/>
      <c r="I12" s="32"/>
    </row>
    <row r="13" spans="3:9" x14ac:dyDescent="0.45">
      <c r="C13" s="32"/>
      <c r="D13" s="29"/>
      <c r="E13" s="29"/>
      <c r="F13" s="29"/>
      <c r="G13" s="29"/>
      <c r="H13" s="29"/>
      <c r="I13" s="32"/>
    </row>
    <row r="14" spans="3:9" x14ac:dyDescent="0.45">
      <c r="C14" s="32"/>
      <c r="D14" s="29"/>
      <c r="E14" s="29"/>
      <c r="F14" s="29"/>
      <c r="G14" s="29"/>
      <c r="H14" s="29"/>
      <c r="I14" s="32"/>
    </row>
    <row r="15" spans="3:9" x14ac:dyDescent="0.45">
      <c r="C15" s="32"/>
      <c r="D15" s="29"/>
      <c r="E15" s="29"/>
      <c r="F15" s="29"/>
      <c r="G15" s="29"/>
      <c r="H15" s="29"/>
      <c r="I15" s="32"/>
    </row>
    <row r="16" spans="3:9" x14ac:dyDescent="0.45">
      <c r="C16" s="32"/>
      <c r="D16" s="29"/>
      <c r="E16" s="29"/>
      <c r="F16" s="29"/>
      <c r="G16" s="29"/>
      <c r="H16" s="29"/>
      <c r="I16" s="32"/>
    </row>
    <row r="17" spans="3:9" x14ac:dyDescent="0.45">
      <c r="C17" s="32"/>
      <c r="D17" s="29"/>
      <c r="E17" s="29"/>
      <c r="F17" s="29"/>
      <c r="G17" s="29"/>
      <c r="H17" s="29"/>
      <c r="I17" s="32"/>
    </row>
    <row r="18" spans="3:9" x14ac:dyDescent="0.45">
      <c r="C18" s="32"/>
      <c r="D18" s="29"/>
      <c r="E18" s="29"/>
      <c r="F18" s="29"/>
      <c r="G18" s="29"/>
      <c r="H18" s="29"/>
      <c r="I18" s="32"/>
    </row>
    <row r="19" spans="3:9" x14ac:dyDescent="0.45">
      <c r="C19" s="32"/>
      <c r="D19" s="29"/>
      <c r="E19" s="29"/>
      <c r="F19" s="29"/>
      <c r="G19" s="29"/>
      <c r="H19" s="29"/>
      <c r="I19" s="32"/>
    </row>
    <row r="20" spans="3:9" x14ac:dyDescent="0.45">
      <c r="C20" s="32"/>
      <c r="D20" s="29"/>
      <c r="E20" s="29"/>
      <c r="F20" s="29"/>
      <c r="G20" s="29"/>
      <c r="H20" s="29"/>
      <c r="I20" s="32"/>
    </row>
    <row r="21" spans="3:9" x14ac:dyDescent="0.45">
      <c r="C21" s="32"/>
      <c r="D21" s="29"/>
      <c r="E21" s="29"/>
      <c r="F21" s="29"/>
      <c r="G21" s="29"/>
      <c r="H21" s="29"/>
      <c r="I21" s="32"/>
    </row>
    <row r="22" spans="3:9" x14ac:dyDescent="0.45">
      <c r="C22" s="32"/>
      <c r="D22" s="29"/>
      <c r="E22" s="29"/>
      <c r="F22" s="29"/>
      <c r="G22" s="29"/>
      <c r="H22" s="29"/>
      <c r="I22" s="32"/>
    </row>
    <row r="23" spans="3:9" x14ac:dyDescent="0.45">
      <c r="C23" s="32"/>
      <c r="D23" s="29"/>
      <c r="E23" s="29"/>
      <c r="F23" s="29"/>
      <c r="G23" s="29"/>
      <c r="H23" s="29"/>
      <c r="I23" s="32"/>
    </row>
    <row r="24" spans="3:9" x14ac:dyDescent="0.45">
      <c r="C24" s="32"/>
      <c r="D24" s="29"/>
      <c r="E24" s="29"/>
      <c r="F24" s="29"/>
      <c r="G24" s="29"/>
      <c r="H24" s="29"/>
      <c r="I24" s="32"/>
    </row>
    <row r="25" spans="3:9" x14ac:dyDescent="0.45">
      <c r="C25" s="32"/>
      <c r="D25" s="29"/>
      <c r="E25" s="29"/>
      <c r="F25" s="29"/>
      <c r="G25" s="29"/>
      <c r="H25" s="29"/>
      <c r="I25" s="32"/>
    </row>
    <row r="26" spans="3:9" x14ac:dyDescent="0.45">
      <c r="C26" s="32"/>
      <c r="D26" s="29"/>
      <c r="E26" s="29"/>
      <c r="F26" s="29"/>
      <c r="G26" s="29"/>
      <c r="H26" s="29"/>
      <c r="I26" s="32"/>
    </row>
    <row r="27" spans="3:9" x14ac:dyDescent="0.45">
      <c r="C27" s="13" t="s">
        <v>81</v>
      </c>
      <c r="D27" s="13"/>
      <c r="F27" s="13"/>
      <c r="G27" s="13"/>
      <c r="H27" s="13"/>
      <c r="I27" s="19">
        <f>SUBTOTAL(109,bens[Valor do Bem])</f>
        <v>580000</v>
      </c>
    </row>
  </sheetData>
  <sheetProtection sheet="1" objects="1" scenarios="1" selectLockedCells="1"/>
  <conditionalFormatting sqref="D7:D26">
    <cfRule type="expression" dxfId="2" priority="5">
      <formula>$C7="Titular"</formula>
    </cfRule>
  </conditionalFormatting>
  <conditionalFormatting sqref="F7:F26">
    <cfRule type="expression" dxfId="1" priority="3">
      <formula>OR($E7="Bens Móveis",$E7="Fundos",$E7="Outros")</formula>
    </cfRule>
  </conditionalFormatting>
  <conditionalFormatting sqref="G7:G26">
    <cfRule type="expression" dxfId="0" priority="1">
      <formula>OR($E7="Bens Imóveis",$E7="Fundos",$E7="Outros")</formula>
    </cfRule>
  </conditionalFormatting>
  <dataValidations count="2">
    <dataValidation type="list" allowBlank="1" showInputMessage="1" showErrorMessage="1" errorTitle="Entrada Inválida" error="Preencha com uma das opções da lista" sqref="C7:C26" xr:uid="{87C724CB-E089-4673-AE6D-CF49A0AE9FB0}">
      <formula1>"Titular,Dependente"</formula1>
    </dataValidation>
    <dataValidation allowBlank="1" showInputMessage="1" showErrorMessage="1" errorTitle="Entrada Inválida" error="Preencha com uma das opções da lista" sqref="F7:F26" xr:uid="{FDF69292-4BD5-4036-BD06-A1B438C3A059}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Entrada Inválida" error="Indique com qual dependente a despesa foi realizada (Se a despesa foi com o titular, não preencher)_x000a_" xr:uid="{86D3EDD3-A00C-4985-91C7-F3D04DDBAF54}">
          <x14:formula1>
            <xm:f>DEPENDENTES!$E$7:$E$26</xm:f>
          </x14:formula1>
          <xm:sqref>D7:D26</xm:sqref>
        </x14:dataValidation>
        <x14:dataValidation type="list" allowBlank="1" showInputMessage="1" showErrorMessage="1" errorTitle="Entrada Inválida" error="Preencha com uma das opções da lista" xr:uid="{CA14D6FC-16BF-4ADC-A612-D988486CCF5D}">
          <x14:formula1>
            <xm:f>Tabelas!$M$2:$M$5</xm:f>
          </x14:formula1>
          <xm:sqref>E7:E26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Tabelas</vt:lpstr>
      <vt:lpstr>TITULAR</vt:lpstr>
      <vt:lpstr>DEPENDENTES</vt:lpstr>
      <vt:lpstr>RENDIMENTOS</vt:lpstr>
      <vt:lpstr>DESPESAS</vt:lpstr>
      <vt:lpstr>INFORMES</vt:lpstr>
      <vt:lpstr>BENS</vt:lpstr>
    </vt:vector>
  </TitlesOfParts>
  <Company>Amcor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Giovana Leardine</dc:creator>
  <cp:lastModifiedBy>Giovana Leardine</cp:lastModifiedBy>
  <dcterms:created xsi:type="dcterms:W3CDTF">2026-10-15T14:14:13Z</dcterms:created>
  <dcterms:modified xsi:type="dcterms:W3CDTF">2026-10-16T13:52:58Z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